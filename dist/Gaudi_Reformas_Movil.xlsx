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ICIO" sheetId="1" r:id="rId1"/>
    <sheet name="PROYECTO" sheetId="2" r:id="rId2"/>
    <sheet name="RESULTADO" sheetId="3" r:id="rId3"/>
    <sheet name="HISTORIAL" sheetId="4" r:id="rId4"/>
    <sheet name="AJUSTES" sheetId="5" r:id="rId5"/>
    <sheet name="LISTAS" sheetId="6" state="hidden" r:id="rId6"/>
    <sheet name="CALC" sheetId="7" state="hidden" r:id="rId7"/>
  </sheets>
  <definedNames>
    <definedName name="CajaAntes">RESULTADO!$B$5:$G$22</definedName>
    <definedName name="CajaDespues">RESULTADO!$I$5:$N$22</definedName>
    <definedName name="CajaOriginal">PROYECTO!$E$5:$J$20</definedName>
    <definedName name="CfgCarpeta">AJUSTES!$C$9</definedName>
    <definedName name="CfgModeloGemini">AJUSTES!$C$7</definedName>
    <definedName name="CfgModeloOpenAI">AJUSTES!$C$8</definedName>
    <definedName name="CfgMotor">AJUSTES!$C$6</definedName>
    <definedName name="CodCalidadOpenAI">CALC!$B$21</definedName>
    <definedName name="CodProporcion">CALC!$B$18</definedName>
    <definedName name="CodResolucion">CALC!$B$20</definedName>
    <definedName name="EstadoApp">PROYECTO!$C$39</definedName>
    <definedName name="EstadoClaveGemini">AJUSTES!$C$12</definedName>
    <definedName name="EstadoClaveOpenAI">AJUSTES!$C$13</definedName>
    <definedName name="EstConservar">PROYECTO!$C$36</definedName>
    <definedName name="FmtCalidad">PROYECTO!$C$30</definedName>
    <definedName name="FmtEstilo">PROYECTO!$C$31</definedName>
    <definedName name="FmtLuz">PROYECTO!$C$32</definedName>
    <definedName name="FmtProporcion">PROYECTO!$C$29</definedName>
    <definedName name="FotoNombre">PROYECTO!$C$5</definedName>
    <definedName name="FotoRuta">PROYECTO!$C$6</definedName>
    <definedName name="HistCabecera">HISTORIAL!$B$4</definedName>
    <definedName name="L_Bano">LISTAS!$AH$2:$AH$9</definedName>
    <definedName name="L_Calidad">LISTAS!$AU$2:$AU$5</definedName>
    <definedName name="L_Carpinteria">LISTAS!$Y$2:$Y$9</definedName>
    <definedName name="L_Cocina">LISTAS!$AB$2:$AB$10</definedName>
    <definedName name="L_Color">LISTAS!$S$2:$S$15</definedName>
    <definedName name="L_Encimera">LISTAS!$AE$2:$AE$8</definedName>
    <definedName name="L_Estancia">LISTAS!$A$2:$A$19</definedName>
    <definedName name="L_Estilo">LISTAS!$G$2:$G$15</definedName>
    <definedName name="L_EstiloImagen">LISTAS!$AY$2:$AY$6</definedName>
    <definedName name="L_Iluminacion">LISTAS!$AK$2:$AK$8</definedName>
    <definedName name="L_Intensidad">LISTAS!$J$2:$J$4</definedName>
    <definedName name="L_Luz">LISTAS!$BB$2:$BB$6</definedName>
    <definedName name="L_Mobiliario">LISTAS!$AN$2:$AN$6</definedName>
    <definedName name="L_ModeloGemini">LISTAS!$BG$2:$BG$3</definedName>
    <definedName name="L_ModeloOpenAI">LISTAS!$BI$2:$BI$3</definedName>
    <definedName name="L_Motor">LISTAS!$BE$2:$BE$3</definedName>
    <definedName name="L_Paredes">LISTAS!$P$2:$P$12</definedName>
    <definedName name="L_Proporcion">LISTAS!$AQ$2:$AQ$9</definedName>
    <definedName name="L_Suelo">LISTAS!$M$2:$M$14</definedName>
    <definedName name="L_Techo">LISTAS!$V$2:$V$8</definedName>
    <definedName name="L_Tipo">LISTAS!$D$2:$D$10</definedName>
    <definedName name="_xlnm.Print_Area" localSheetId="4">AJUSTES!$B$1:$H$26</definedName>
    <definedName name="_xlnm.Print_Area" localSheetId="3">HISTORIAL!$B$1:$M$200</definedName>
    <definedName name="_xlnm.Print_Area" localSheetId="0">INICIO!$B$1:$C$32</definedName>
    <definedName name="_xlnm.Print_Area" localSheetId="1">PROYECTO!$B$1:$C$46</definedName>
    <definedName name="_xlnm.Print_Area" localSheetId="2">RESULTADO!$B$1:$N$33</definedName>
    <definedName name="_xlnm.Print_Titles" localSheetId="3">HISTORIAL!$4:$4</definedName>
    <definedName name="PromptIA">PROYECTO!$B$44</definedName>
    <definedName name="ProyEstancia">PROYECTO!$C$10</definedName>
    <definedName name="ProyEstilo">PROYECTO!$C$12</definedName>
    <definedName name="ProyIntensidad">PROYECTO!$C$13</definedName>
    <definedName name="ProyNombre">PROYECTO!$C$9</definedName>
    <definedName name="ProyTipo">PROYECTO!$C$11</definedName>
    <definedName name="RefBano">PROYECTO!$C$23</definedName>
    <definedName name="RefCarpinteria">PROYECTO!$C$20</definedName>
    <definedName name="RefCocina">PROYECTO!$C$21</definedName>
    <definedName name="RefColor">PROYECTO!$C$18</definedName>
    <definedName name="RefEncimera">PROYECTO!$C$22</definedName>
    <definedName name="RefIluminacion">PROYECTO!$C$24</definedName>
    <definedName name="RefMobiliario">PROYECTO!$C$25</definedName>
    <definedName name="RefNotas">PROYECTO!$C$26</definedName>
    <definedName name="RefParedes">PROYECTO!$C$17</definedName>
    <definedName name="RefSuelo">PROYECTO!$C$16</definedName>
    <definedName name="RefTecho">PROYECTO!$C$19</definedName>
    <definedName name="ResArchivo">RESULTADO!$C$26</definedName>
    <definedName name="ResFecha">RESULTADO!$C$24</definedName>
    <definedName name="ResMotor">RESULTADO!$C$25</definedName>
    <definedName name="ResResumen">RESULTADO!$C$27</definedName>
    <definedName name="ResumenES">PROYECTO!$B$40</definedName>
    <definedName name="T_Bano">LISTAS!$AH$2:$AI$9</definedName>
    <definedName name="T_Calidad">LISTAS!$AU$2:$AW$5</definedName>
    <definedName name="T_Carpinteria">LISTAS!$Y$2:$Z$9</definedName>
    <definedName name="T_Cocina">LISTAS!$AB$2:$AC$10</definedName>
    <definedName name="T_Color">LISTAS!$S$2:$T$15</definedName>
    <definedName name="T_Encimera">LISTAS!$AE$2:$AF$8</definedName>
    <definedName name="T_Estancia">LISTAS!$A$2:$B$19</definedName>
    <definedName name="T_Estilo">LISTAS!$G$2:$H$15</definedName>
    <definedName name="T_EstiloImagen">LISTAS!$AY$2:$AZ$6</definedName>
    <definedName name="T_Iluminacion">LISTAS!$AK$2:$AL$8</definedName>
    <definedName name="T_Intensidad">LISTAS!$J$2:$K$4</definedName>
    <definedName name="T_Luz">LISTAS!$BB$2:$BC$6</definedName>
    <definedName name="T_Mobiliario">LISTAS!$AN$2:$AO$6</definedName>
    <definedName name="T_ModeloGemini">LISTAS!$BG$2:$BG$3</definedName>
    <definedName name="T_ModeloOpenAI">LISTAS!$BI$2:$BI$3</definedName>
    <definedName name="T_Motor">LISTAS!$BE$2:$BE$3</definedName>
    <definedName name="T_Paredes">LISTAS!$P$2:$Q$12</definedName>
    <definedName name="T_Proporcion">LISTAS!$AQ$2:$AS$9</definedName>
    <definedName name="T_Suelo">LISTAS!$M$2:$N$14</definedName>
    <definedName name="T_Techo">LISTAS!$V$2:$W$8</definedName>
    <definedName name="T_Tipo">LISTAS!$D$2:$E$10</definedName>
  </definedNames>
  <calcPr calcId="124519" fullCalcOnLoad="1"/>
</workbook>
</file>

<file path=xl/sharedStrings.xml><?xml version="1.0" encoding="utf-8"?>
<sst xmlns="http://schemas.openxmlformats.org/spreadsheetml/2006/main" count="572" uniqueCount="482">
  <si>
    <t>Estancia</t>
  </si>
  <si>
    <t>EN</t>
  </si>
  <si>
    <t>Salón</t>
  </si>
  <si>
    <t>living room</t>
  </si>
  <si>
    <t>Salón-comedor</t>
  </si>
  <si>
    <t>open living and dining room</t>
  </si>
  <si>
    <t>Comedor</t>
  </si>
  <si>
    <t>dining room</t>
  </si>
  <si>
    <t>Cocina</t>
  </si>
  <si>
    <t>kitchen</t>
  </si>
  <si>
    <t>Cocina abierta al salón</t>
  </si>
  <si>
    <t>open-plan kitchen connected to the living room</t>
  </si>
  <si>
    <t>Baño</t>
  </si>
  <si>
    <t>bathroom</t>
  </si>
  <si>
    <t>Aseo</t>
  </si>
  <si>
    <t>small guest toilet</t>
  </si>
  <si>
    <t>Dormitorio principal</t>
  </si>
  <si>
    <t>master bedroom</t>
  </si>
  <si>
    <t>Dormitorio</t>
  </si>
  <si>
    <t>bedroom</t>
  </si>
  <si>
    <t>Dormitorio infantil</t>
  </si>
  <si>
    <t>children's bedroom</t>
  </si>
  <si>
    <t>Despacho / estudio</t>
  </si>
  <si>
    <t>home office</t>
  </si>
  <si>
    <t>Recibidor</t>
  </si>
  <si>
    <t>entrance hall</t>
  </si>
  <si>
    <t>Pasillo</t>
  </si>
  <si>
    <t>hallway</t>
  </si>
  <si>
    <t>Terraza / balcón</t>
  </si>
  <si>
    <t>terrace or balcony</t>
  </si>
  <si>
    <t>Galería / lavadero</t>
  </si>
  <si>
    <t>utility and laundry room</t>
  </si>
  <si>
    <t>Buhardilla / ático</t>
  </si>
  <si>
    <t>attic room under a sloped roof</t>
  </si>
  <si>
    <t>Local comercial</t>
  </si>
  <si>
    <t>commercial premises</t>
  </si>
  <si>
    <t>Piso completo (vista general)</t>
  </si>
  <si>
    <t>apartment</t>
  </si>
  <si>
    <t>Tipo de reforma</t>
  </si>
  <si>
    <t>Reforma integral</t>
  </si>
  <si>
    <t>complete renovation of all finishes, fixtures, lighting and furniture</t>
  </si>
  <si>
    <t>Lavado de cara (pintura y decoración)</t>
  </si>
  <si>
    <t>cosmetic refresh: new paint, decoration and soft furnishings only</t>
  </si>
  <si>
    <t>Home staging (vender / alquilar)</t>
  </si>
  <si>
    <t>home staging to sell or rent: clean, bright, neutral and inviting</t>
  </si>
  <si>
    <t>Reforma de cocina</t>
  </si>
  <si>
    <t>kitchen renovation</t>
  </si>
  <si>
    <t>Reforma de baño</t>
  </si>
  <si>
    <t>bathroom renovation</t>
  </si>
  <si>
    <t>Cambio de suelos</t>
  </si>
  <si>
    <t>new flooring</t>
  </si>
  <si>
    <t>Amueblar piso vacío</t>
  </si>
  <si>
    <t>furnishing of the empty space</t>
  </si>
  <si>
    <t>Vaciar estancia</t>
  </si>
  <si>
    <t>removal of all furniture and clutter, leaving the space empty and clean</t>
  </si>
  <si>
    <t>Rehabilitación de época</t>
  </si>
  <si>
    <t>respectful restoration that recovers the original period features</t>
  </si>
  <si>
    <t>Estilo</t>
  </si>
  <si>
    <t>Nórdico</t>
  </si>
  <si>
    <t>Scandinavian: light woods, white and soft neutral tones, cozy textiles, simple functional furniture</t>
  </si>
  <si>
    <t>Moderno</t>
  </si>
  <si>
    <t>modern contemporary: clean lines, neutral palette, sleek finishes</t>
  </si>
  <si>
    <t>Minimalista</t>
  </si>
  <si>
    <t>minimalist: uncluttered, essential furniture, hidden storage, calm monochrome palette</t>
  </si>
  <si>
    <t>Industrial</t>
  </si>
  <si>
    <t>industrial: black metal, raw wood, concrete textures, exposed materials</t>
  </si>
  <si>
    <t>Mediterráneo</t>
  </si>
  <si>
    <t>Mediterranean: whitewashed walls, natural fibers, terracotta, warm wood and touches of blue</t>
  </si>
  <si>
    <t>Japandi</t>
  </si>
  <si>
    <t>Japandi: natural wood, earthy muted tones, low furniture, serene atmosphere</t>
  </si>
  <si>
    <t>Rústico moderno</t>
  </si>
  <si>
    <t>modern rustic: natural wood, stone and warm textures with modern comfort</t>
  </si>
  <si>
    <t>Clásico elegante</t>
  </si>
  <si>
    <t>classic elegant: moldings, refined furniture, symmetry and soft neutral colors</t>
  </si>
  <si>
    <t>Lujo contemporáneo</t>
  </si>
  <si>
    <t>contemporary luxury: marble, brass details, designer lighting, rich textures</t>
  </si>
  <si>
    <t>Boho</t>
  </si>
  <si>
    <t>bohemian: rattan, natural fibers, plants, warm earthy colors, layered textiles</t>
  </si>
  <si>
    <t>Mid-century</t>
  </si>
  <si>
    <t>mid-century modern: walnut wood, tapered legs, organic shapes, retro accent colors</t>
  </si>
  <si>
    <t>Modernista (Gaudí)</t>
  </si>
  <si>
    <t>Catalan Modernisme inspired by Antoni Gaudi: organic curves, hydraulic mosaic tiles, trencadis accents, stained glass, wrought iron and natural motifs</t>
  </si>
  <si>
    <t>Costero</t>
  </si>
  <si>
    <t>coastal: airy whites, sand and soft blue tones, natural linen, light woods</t>
  </si>
  <si>
    <t>Neutro para vender</t>
  </si>
  <si>
    <t>neutral, bright and universally appealing, ideal for a property listing</t>
  </si>
  <si>
    <t>Intensidad</t>
  </si>
  <si>
    <t>Sutil</t>
  </si>
  <si>
    <t>Make subtle, refined changes that stay close to the original look.</t>
  </si>
  <si>
    <t>Media</t>
  </si>
  <si>
    <t>Make clearly visible changes while keeping a realistic, coherent result.</t>
  </si>
  <si>
    <t>Transformación total</t>
  </si>
  <si>
    <t>Make a complete transformation of finishes, colors and furniture (but never of the architecture).</t>
  </si>
  <si>
    <t>Suelo</t>
  </si>
  <si>
    <t>Mantener actual</t>
  </si>
  <si>
    <t>keep the existing floor exactly as it is</t>
  </si>
  <si>
    <t>Parquet de roble natural</t>
  </si>
  <si>
    <t>natural oak wood plank flooring</t>
  </si>
  <si>
    <t>Parquet en espiga</t>
  </si>
  <si>
    <t>herringbone oak parquet</t>
  </si>
  <si>
    <t>Tarima vinílica efecto madera</t>
  </si>
  <si>
    <t>wood-effect vinyl plank flooring</t>
  </si>
  <si>
    <t>Porcelánico gran formato gris</t>
  </si>
  <si>
    <t>large-format light grey porcelain tiles</t>
  </si>
  <si>
    <t>Porcelánico efecto mármol</t>
  </si>
  <si>
    <t>large-format marble-effect porcelain tiles</t>
  </si>
  <si>
    <t>Porcelánico efecto madera</t>
  </si>
  <si>
    <t>wood-effect porcelain tiles</t>
  </si>
  <si>
    <t>Microcemento</t>
  </si>
  <si>
    <t>seamless microcement floor in a soft neutral tone</t>
  </si>
  <si>
    <t>Baldosa hidráulica</t>
  </si>
  <si>
    <t>traditional patterned hydraulic cement tiles</t>
  </si>
  <si>
    <t>Terrazo</t>
  </si>
  <si>
    <t>terrazzo floor</t>
  </si>
  <si>
    <t>Barro cocido</t>
  </si>
  <si>
    <t>handmade terracotta tiles</t>
  </si>
  <si>
    <t>Moqueta</t>
  </si>
  <si>
    <t>wall-to-wall carpet in a neutral tone</t>
  </si>
  <si>
    <t>Restaurar el suelo actual</t>
  </si>
  <si>
    <t>the existing floor restored and polished, keeping its original pattern</t>
  </si>
  <si>
    <t>Paredes</t>
  </si>
  <si>
    <t>keep the existing wall finish</t>
  </si>
  <si>
    <t>Pintura lisa</t>
  </si>
  <si>
    <t>smooth painted walls</t>
  </si>
  <si>
    <t>Papel pintado</t>
  </si>
  <si>
    <t>elegant wallpaper</t>
  </si>
  <si>
    <t>microcement wall finish</t>
  </si>
  <si>
    <t>Revestimiento de madera</t>
  </si>
  <si>
    <t>wood panel wall cladding</t>
  </si>
  <si>
    <t>Ladrillo visto</t>
  </si>
  <si>
    <t>exposed brick</t>
  </si>
  <si>
    <t>Azulejo / porcelánico</t>
  </si>
  <si>
    <t>wall tiles</t>
  </si>
  <si>
    <t>Zócalo de azulejo + pintura</t>
  </si>
  <si>
    <t>tiled wainscot with painted wall above</t>
  </si>
  <si>
    <t>Molduras (boiserie)</t>
  </si>
  <si>
    <t>classic wall moldings (boiserie)</t>
  </si>
  <si>
    <t>Estuco / cal</t>
  </si>
  <si>
    <t>lime plaster or Venetian stucco finish</t>
  </si>
  <si>
    <t>Piedra natural</t>
  </si>
  <si>
    <t>natural stone cladding</t>
  </si>
  <si>
    <t>Color</t>
  </si>
  <si>
    <t>keep the existing colors</t>
  </si>
  <si>
    <t>Blanco roto</t>
  </si>
  <si>
    <t>warm off-white</t>
  </si>
  <si>
    <t>Blanco puro</t>
  </si>
  <si>
    <t>pure white</t>
  </si>
  <si>
    <t>Gris perla</t>
  </si>
  <si>
    <t>pearl grey</t>
  </si>
  <si>
    <t>Greige</t>
  </si>
  <si>
    <t>greige (warm grey-beige)</t>
  </si>
  <si>
    <t>Beige arena</t>
  </si>
  <si>
    <t>sand beige</t>
  </si>
  <si>
    <t>Verde salvia</t>
  </si>
  <si>
    <t>sage green</t>
  </si>
  <si>
    <t>Azul nórdico</t>
  </si>
  <si>
    <t>soft Nordic blue</t>
  </si>
  <si>
    <t>Azul marino</t>
  </si>
  <si>
    <t>navy blue</t>
  </si>
  <si>
    <t>Terracota</t>
  </si>
  <si>
    <t>terracotta</t>
  </si>
  <si>
    <t>Tonos tierra</t>
  </si>
  <si>
    <t>earthy tones</t>
  </si>
  <si>
    <t>Rosa empolvado</t>
  </si>
  <si>
    <t>dusty pink</t>
  </si>
  <si>
    <t>Gris antracita</t>
  </si>
  <si>
    <t>anthracite grey</t>
  </si>
  <si>
    <t>Negro</t>
  </si>
  <si>
    <t>black</t>
  </si>
  <si>
    <t>Techo</t>
  </si>
  <si>
    <t>keep the existing ceiling exactly as it is</t>
  </si>
  <si>
    <t>Liso blanco</t>
  </si>
  <si>
    <t>smooth flat white ceiling</t>
  </si>
  <si>
    <t>Foseado con LED indirecto</t>
  </si>
  <si>
    <t>perimeter ceiling cove with indirect LED light (ceiling height unchanged)</t>
  </si>
  <si>
    <t>Vigas de madera vistas (si existen)</t>
  </si>
  <si>
    <t>the existing ceiling beams exposed and finished in natural wood</t>
  </si>
  <si>
    <t>Bóveda catalana restaurada (si existe)</t>
  </si>
  <si>
    <t>the existing Catalan vault ceiling restored with exposed brick</t>
  </si>
  <si>
    <t>Molduras clásicas</t>
  </si>
  <si>
    <t>classic plaster cornices and ceiling moldings</t>
  </si>
  <si>
    <t>Listones de madera</t>
  </si>
  <si>
    <t>wooden slat ceiling cladding</t>
  </si>
  <si>
    <t>Carpintería</t>
  </si>
  <si>
    <t>keep the existing doors and windows unchanged</t>
  </si>
  <si>
    <t>Puertas lacadas en blanco</t>
  </si>
  <si>
    <t>white lacquered interior doors</t>
  </si>
  <si>
    <t>Puertas de roble</t>
  </si>
  <si>
    <t>natural oak interior doors</t>
  </si>
  <si>
    <t>Puertas negras modernas</t>
  </si>
  <si>
    <t>modern black interior doors</t>
  </si>
  <si>
    <t>Ventanas de aluminio negro</t>
  </si>
  <si>
    <t>black aluminium window frames</t>
  </si>
  <si>
    <t>Ventanas de PVC blanco</t>
  </si>
  <si>
    <t>white PVC window frames</t>
  </si>
  <si>
    <t>Ventanas de madera</t>
  </si>
  <si>
    <t>wooden window frames</t>
  </si>
  <si>
    <t>Puertas y ventanas nuevas a juego</t>
  </si>
  <si>
    <t>new doors and window frames matching the chosen style</t>
  </si>
  <si>
    <t>Mantener / no aplica</t>
  </si>
  <si>
    <t>-</t>
  </si>
  <si>
    <t>Blanca lacada sin tiradores</t>
  </si>
  <si>
    <t>handleless white lacquered cabinets</t>
  </si>
  <si>
    <t>Madera natural</t>
  </si>
  <si>
    <t>natural wood cabinets</t>
  </si>
  <si>
    <t>sage green cabinets</t>
  </si>
  <si>
    <t>Gris antracita mate</t>
  </si>
  <si>
    <t>matte anthracite grey cabinets</t>
  </si>
  <si>
    <t>navy blue cabinets</t>
  </si>
  <si>
    <t>Bicolor madera + blanco</t>
  </si>
  <si>
    <t>two-tone cabinets: wood lower units and white upper units</t>
  </si>
  <si>
    <t>Negra mate</t>
  </si>
  <si>
    <t>matte black cabinets</t>
  </si>
  <si>
    <t>Rústica con cuarterones</t>
  </si>
  <si>
    <t>rustic framed shaker-style cabinets</t>
  </si>
  <si>
    <t>Encimera</t>
  </si>
  <si>
    <t>Cuarzo blanco</t>
  </si>
  <si>
    <t>white quartz</t>
  </si>
  <si>
    <t>marble-effect porcelain</t>
  </si>
  <si>
    <t>Madera maciza</t>
  </si>
  <si>
    <t>solid wood</t>
  </si>
  <si>
    <t>Granito negro</t>
  </si>
  <si>
    <t>black granite</t>
  </si>
  <si>
    <t>microcement</t>
  </si>
  <si>
    <t>Acero inoxidable</t>
  </si>
  <si>
    <t>stainless steel</t>
  </si>
  <si>
    <t>Baño moderno completo</t>
  </si>
  <si>
    <t>fully renovated modern bathroom: walk-in shower, wall-hung vanity, large mirror and large-format tiles, all in the same positions as the existing fixtures</t>
  </si>
  <si>
    <t>Plato de ducha + mampara</t>
  </si>
  <si>
    <t>walk-in shower with flush tray and glass screen in the place of the existing bath or shower</t>
  </si>
  <si>
    <t>Bañera exenta</t>
  </si>
  <si>
    <t>freestanding bathtub in the place of the existing bath</t>
  </si>
  <si>
    <t>Mueble suspendido de madera</t>
  </si>
  <si>
    <t>wall-hung wooden vanity with modern washbasin</t>
  </si>
  <si>
    <t>Mueble suspendido blanco</t>
  </si>
  <si>
    <t>wall-hung white vanity with modern washbasin</t>
  </si>
  <si>
    <t>Grifería negra mate</t>
  </si>
  <si>
    <t>matte black taps and fittings</t>
  </si>
  <si>
    <t>Grifería dorada</t>
  </si>
  <si>
    <t>brushed brass taps and fittings</t>
  </si>
  <si>
    <t>Iluminación</t>
  </si>
  <si>
    <t>keep the existing light fittings</t>
  </si>
  <si>
    <t>Focos empotrados</t>
  </si>
  <si>
    <t>recessed ceiling spotlights</t>
  </si>
  <si>
    <t>Tiras LED indirectas</t>
  </si>
  <si>
    <t>indirect LED strip lighting</t>
  </si>
  <si>
    <t>Lámparas colgantes de diseño</t>
  </si>
  <si>
    <t>designer pendant lamps</t>
  </si>
  <si>
    <t>Lámparas de pie y sobremesa</t>
  </si>
  <si>
    <t>floor and table lamps for warm ambient light</t>
  </si>
  <si>
    <t>Carril con focos</t>
  </si>
  <si>
    <t>ceiling track with spotlights</t>
  </si>
  <si>
    <t>Apliques de pared</t>
  </si>
  <si>
    <t>wall sconces</t>
  </si>
  <si>
    <t>Mobiliario</t>
  </si>
  <si>
    <t>keep the existing furniture</t>
  </si>
  <si>
    <t>Amueblar según el estilo</t>
  </si>
  <si>
    <t>new furniture and decor matching the chosen style, realistically sized for the space</t>
  </si>
  <si>
    <t>Home staging ligero</t>
  </si>
  <si>
    <t>light home staging: a few well-chosen furniture pieces, plants and decor</t>
  </si>
  <si>
    <t>Renovar textiles y decoración</t>
  </si>
  <si>
    <t>same furniture layout with updated textiles, cushions, rugs, curtains and decor</t>
  </si>
  <si>
    <t>Vaciar (sin muebles)</t>
  </si>
  <si>
    <t>remove all furniture and objects, leaving the room empty and clean</t>
  </si>
  <si>
    <t>Proporción</t>
  </si>
  <si>
    <t>Código</t>
  </si>
  <si>
    <t>Igual que la foto original</t>
  </si>
  <si>
    <t>auto</t>
  </si>
  <si>
    <t>Keep exactly the same framing and aspect ratio as the original photo.</t>
  </si>
  <si>
    <t>Horizontal 4:3</t>
  </si>
  <si>
    <t>4:3</t>
  </si>
  <si>
    <t>Final image aspect ratio 4:3: adapt the framing only by extending or cropping at the edges, never altering the existing architecture.</t>
  </si>
  <si>
    <t>Horizontal 3:2</t>
  </si>
  <si>
    <t>3:2</t>
  </si>
  <si>
    <t>Final image aspect ratio 3:2: adapt the framing only by extending or cropping at the edges, never altering the existing architecture.</t>
  </si>
  <si>
    <t>Horizontal 16:9</t>
  </si>
  <si>
    <t>16:9</t>
  </si>
  <si>
    <t>Final image aspect ratio 16:9: adapt the framing only by extending or cropping at the edges, never altering the existing architecture.</t>
  </si>
  <si>
    <t>Cuadrada 1:1</t>
  </si>
  <si>
    <t>1:1</t>
  </si>
  <si>
    <t>Final image aspect ratio 1:1: adapt the framing only by extending or cropping at the edges, never altering the existing architecture.</t>
  </si>
  <si>
    <t>Vertical 4:5 (Instagram)</t>
  </si>
  <si>
    <t>4:5</t>
  </si>
  <si>
    <t>Final image aspect ratio 4:5: adapt the framing only by extending or cropping at the edges, never altering the existing architecture.</t>
  </si>
  <si>
    <t>Vertical 3:4</t>
  </si>
  <si>
    <t>3:4</t>
  </si>
  <si>
    <t>Final image aspect ratio 3:4: adapt the framing only by extending or cropping at the edges, never altering the existing architecture.</t>
  </si>
  <si>
    <t>Vertical 9:16 (stories)</t>
  </si>
  <si>
    <t>9:16</t>
  </si>
  <si>
    <t>Final image aspect ratio 9:16: adapt the framing only by extending or cropping at the edges, never altering the existing architecture.</t>
  </si>
  <si>
    <t>Calidad</t>
  </si>
  <si>
    <t>Gemini imageSize</t>
  </si>
  <si>
    <t>OpenAI quality</t>
  </si>
  <si>
    <t>Borrador rápido</t>
  </si>
  <si>
    <t>1K</t>
  </si>
  <si>
    <t>low</t>
  </si>
  <si>
    <t>Estándar (1K)</t>
  </si>
  <si>
    <t>medium</t>
  </si>
  <si>
    <t>Alta (2K)</t>
  </si>
  <si>
    <t>2K</t>
  </si>
  <si>
    <t>high</t>
  </si>
  <si>
    <t>Máxima (4K, más lenta)</t>
  </si>
  <si>
    <t>4K</t>
  </si>
  <si>
    <t>Estilo de imagen</t>
  </si>
  <si>
    <t>Foto realista</t>
  </si>
  <si>
    <t>photorealistic interior photograph, as if taken by a professional real-estate photographer</t>
  </si>
  <si>
    <t>Render 3D arquitectónico</t>
  </si>
  <si>
    <t>high-end photorealistic architectural 3D render</t>
  </si>
  <si>
    <t>Revista de decoración</t>
  </si>
  <si>
    <t>polished, carefully styled interior-design magazine photograph</t>
  </si>
  <si>
    <t>Boceto a mano</t>
  </si>
  <si>
    <t>hand-drawn architectural sketch with ink lines and a soft watercolor wash, same perspective</t>
  </si>
  <si>
    <t>Acuarela</t>
  </si>
  <si>
    <t>soft architectural watercolor illustration, same perspective</t>
  </si>
  <si>
    <t>Luz</t>
  </si>
  <si>
    <t>Como en la foto original</t>
  </si>
  <si>
    <t>keep the same lighting conditions and light direction as in the original photo</t>
  </si>
  <si>
    <t>Luz natural de día</t>
  </si>
  <si>
    <t>bright natural daylight entering through the existing windows</t>
  </si>
  <si>
    <t>Atardecer cálido</t>
  </si>
  <si>
    <t>warm golden-hour sunlight through the existing windows</t>
  </si>
  <si>
    <t>Día nublado, luz suave</t>
  </si>
  <si>
    <t>soft, diffuse overcast daylight</t>
  </si>
  <si>
    <t>Noche con luces encendidas</t>
  </si>
  <si>
    <t>evening ambience with the warm artificial lights switched on</t>
  </si>
  <si>
    <t>Motor IA</t>
  </si>
  <si>
    <t>Google Gemini (recomendado)</t>
  </si>
  <si>
    <t>OpenAI (GPT Image)</t>
  </si>
  <si>
    <t>Modelo Gemini</t>
  </si>
  <si>
    <t>gemini-3.1-flash-image</t>
  </si>
  <si>
    <t>gemini-3-pro-image-preview</t>
  </si>
  <si>
    <t>Modelo OpenAI</t>
  </si>
  <si>
    <t>gpt-image-1.5</t>
  </si>
  <si>
    <t>gpt-image-2</t>
  </si>
  <si>
    <t>Clave</t>
  </si>
  <si>
    <t>Valor (fórmula)</t>
  </si>
  <si>
    <t>Descripción</t>
  </si>
  <si>
    <t>EN_Estancia</t>
  </si>
  <si>
    <t>Estancia en inglés</t>
  </si>
  <si>
    <t>EN_Tipo</t>
  </si>
  <si>
    <t>EN_Estilo</t>
  </si>
  <si>
    <t>Estilo decorativo</t>
  </si>
  <si>
    <t>EN_Intensidad</t>
  </si>
  <si>
    <t>EN_Suelo</t>
  </si>
  <si>
    <t>EN_Paredes</t>
  </si>
  <si>
    <t>Acabado de paredes</t>
  </si>
  <si>
    <t>EN_Color</t>
  </si>
  <si>
    <t>EN_Techo</t>
  </si>
  <si>
    <t>EN_Carpinteria</t>
  </si>
  <si>
    <t>Puertas y ventanas</t>
  </si>
  <si>
    <t>EN_Cocina</t>
  </si>
  <si>
    <t>Cocina ('-' = no se menciona)</t>
  </si>
  <si>
    <t>EN_Encimera</t>
  </si>
  <si>
    <t>EN_Bano</t>
  </si>
  <si>
    <t>EN_Iluminacion</t>
  </si>
  <si>
    <t>Lámparas</t>
  </si>
  <si>
    <t>EN_Mobiliario</t>
  </si>
  <si>
    <t>EN_FmtEstilo</t>
  </si>
  <si>
    <t>EN_FmtLuz</t>
  </si>
  <si>
    <t>CodProporcion</t>
  </si>
  <si>
    <t>Proporción para la API (auto = la de la foto)</t>
  </si>
  <si>
    <t>EN_Proporcion</t>
  </si>
  <si>
    <t>Texto de proporción</t>
  </si>
  <si>
    <t>CodResolucion</t>
  </si>
  <si>
    <t>imageSize de Gemini</t>
  </si>
  <si>
    <t>CodCalidadOpenAI</t>
  </si>
  <si>
    <t>quality de OpenAI</t>
  </si>
  <si>
    <t>P_Intro</t>
  </si>
  <si>
    <t>Introducción</t>
  </si>
  <si>
    <t>P_Estructura</t>
  </si>
  <si>
    <t>Bloqueo de estructura (siempre presente)</t>
  </si>
  <si>
    <t>P_Estilo</t>
  </si>
  <si>
    <t>Estilo e intensidad</t>
  </si>
  <si>
    <t>P_Cambios</t>
  </si>
  <si>
    <t>Cambios por elemento</t>
  </si>
  <si>
    <t>P_Notas</t>
  </si>
  <si>
    <t>Notas del usuario</t>
  </si>
  <si>
    <t>P_Salida</t>
  </si>
  <si>
    <t>Formato de salida</t>
  </si>
  <si>
    <t>GAUDÍ</t>
  </si>
  <si>
    <t>Visualizador de reformas con IA</t>
  </si>
  <si>
    <t>Sube la foto de un piso o de una estancia, define el formato y las reformas, y obtén una imagen de cómo quedará. La estructura original (paredes, ventanas, puertas, techos y perspectiva) se mantiene siempre.</t>
  </si>
  <si>
    <t>CÓMO SE USA</t>
  </si>
  <si>
    <t>Ve a PROYECTO y carga la foto original (en el móvil la adjuntarás directamente en Gemini o ChatGPT).</t>
  </si>
  <si>
    <t>Elige estancia, estilo, reformas y formato en los desplegables de color crema.</t>
  </si>
  <si>
    <t>Pulsa GENERAR IMAGEN: verás el ANTES y el DESPUÉS en la hoja RESULTADO.</t>
  </si>
  <si>
    <t>DOS FORMAS DE GENERAR LA IMAGEN</t>
  </si>
  <si>
    <t>B</t>
  </si>
  <si>
    <t>Asistida (esta versión para móvil y tablet): copia el PROMPT de la sección 7 de PROYECTO, abre Gemini o ChatGPT, adjunta la foto y pega el texto. Funciona con una cuenta gratuita.</t>
  </si>
  <si>
    <t>A</t>
  </si>
  <si>
    <t>Automática: usa el archivo Gaudi_Reformas.xlsm en Excel de escritorio (lleva macros y conecta con la IA usando tu clave API).</t>
  </si>
  <si>
    <t>EN EL MÓVIL</t>
  </si>
  <si>
    <t>Abre PROYECTO y elige las opciones en los desplegables (toca la celda y luego la flecha).</t>
  </si>
  <si>
    <t>Baja a la sección 7, mantén pulsada la celda del PROMPT y elige Copiar.</t>
  </si>
  <si>
    <t>Toca «Abrir Gemini» o «Abrir ChatGPT», adjunta tu foto, pega el texto y envía.</t>
  </si>
  <si>
    <t>IR A…</t>
  </si>
  <si>
    <t>→  PROYECTO · configurar la reforma</t>
  </si>
  <si>
    <t>→  RESULTADO · antes y después</t>
  </si>
  <si>
    <t>→  HISTORIAL · imágenes generadas</t>
  </si>
  <si>
    <t>→  AJUSTES · motor de IA y clave API</t>
  </si>
  <si>
    <t>LEYENDA</t>
  </si>
  <si>
    <t>Celda editable (desplegable o texto): solo hay que tocar estas.</t>
  </si>
  <si>
    <t>Celda calculada o rellenada por la app: no se edita.</t>
  </si>
  <si>
    <t>Botón de acción (solo en Excel de escritorio con macros).</t>
  </si>
  <si>
    <t>PRIVACIDAD Y AVISO</t>
  </si>
  <si>
    <t>La foto y las especificaciones solo se envían al proveedor de IA elegido (Google u OpenAI) cuando generas una imagen. La clave API se guarda en tu equipo, no dentro del archivo. Las imágenes son orientativas: no sustituyen a un proyecto técnico ni a un presupuesto.</t>
  </si>
  <si>
    <t>GAUDÍ · Proyecto de reforma</t>
  </si>
  <si>
    <t>← Inicio</t>
  </si>
  <si>
    <t>Ver RESULTADO →</t>
  </si>
  <si>
    <t>Rellena de arriba abajo las celdas color crema (toca la celda y elige en la lista).</t>
  </si>
  <si>
    <t>1 · FOTO ORIGINAL</t>
  </si>
  <si>
    <t>Foto</t>
  </si>
  <si>
    <t>(en el móvil: adjúntala en Gemini)</t>
  </si>
  <si>
    <t>Ruta del archivo</t>
  </si>
  <si>
    <t>2 · PROYECTO Y ESTANCIA</t>
  </si>
  <si>
    <t>Nombre del proyecto</t>
  </si>
  <si>
    <t>Ejemplo · Salón calle Mallorca</t>
  </si>
  <si>
    <t>Intensidad del cambio</t>
  </si>
  <si>
    <t>3 · REFORMAS POR ELEMENTO</t>
  </si>
  <si>
    <t>Paredes · acabado</t>
  </si>
  <si>
    <t>Paredes · color</t>
  </si>
  <si>
    <t>Cocina · muebles</t>
  </si>
  <si>
    <t>Cocina · encimera</t>
  </si>
  <si>
    <t>Mobiliario y decoración</t>
  </si>
  <si>
    <t>Notas adicionales</t>
  </si>
  <si>
    <t>Sofá en tonos claros, alfombra de yute y plantas naturales</t>
  </si>
  <si>
    <t>4 · FORMATO DE LA IMAGEN</t>
  </si>
  <si>
    <t>Calidad / resolución</t>
  </si>
  <si>
    <t>Luz de la escena</t>
  </si>
  <si>
    <t>5 · ESTRUCTURA ORIGINAL (SIEMPRE SE CONSERVA)</t>
  </si>
  <si>
    <t>🔒 Se mantienen intactos: paredes y tabiques, ventanas, puertas y huecos, techo y altura, vigas, pilares, escaleras, dimensiones y la perspectiva exacta de la foto.</t>
  </si>
  <si>
    <t>Conservar también</t>
  </si>
  <si>
    <t/>
  </si>
  <si>
    <t>6 · RESUMEN Y ESTADO</t>
  </si>
  <si>
    <t>Estado</t>
  </si>
  <si>
    <t>Versión móvil: usa la sección 7 para generar con Gemini o ChatGPT.</t>
  </si>
  <si>
    <t>7 · MODO MÓVIL / SIN CLAVE API</t>
  </si>
  <si>
    <t>1) Mantén pulsada la celda del PROMPT (abajo) y elige Copiar.  2) Abre Gemini o ChatGPT.  3) Adjunta la foto original, pega el texto y envía.  4) Guarda la imagen que te devuelva.</t>
  </si>
  <si>
    <t>Abrir Gemini →</t>
  </si>
  <si>
    <t>Abrir ChatGPT →</t>
  </si>
  <si>
    <t>El prompt se escribe en inglés porque los modelos de imagen lo siguen con más precisión. Se actualiza solo al cambiar cualquier opción.</t>
  </si>
  <si>
    <t>RESULTADO · ANTES Y DESPUÉS</t>
  </si>
  <si>
    <t>← Volver a PROYECTO</t>
  </si>
  <si>
    <t>ANTES · foto original</t>
  </si>
  <si>
    <t>DESPUÉS · propuesta de reforma</t>
  </si>
  <si>
    <t>Inserta aquí la foto original (Insertar › Imagen)</t>
  </si>
  <si>
    <t>Inserta aquí la imagen generada (Insertar › Imagen)</t>
  </si>
  <si>
    <t>Fecha</t>
  </si>
  <si>
    <t>Generado con</t>
  </si>
  <si>
    <t>Archivo</t>
  </si>
  <si>
    <t>Reforma</t>
  </si>
  <si>
    <t>Visualización orientativa generada con inteligencia artificial: puede contener imprecisiones en materiales o mobiliario y no sustituye a un proyecto técnico ni a un presupuesto.</t>
  </si>
  <si>
    <t>HISTORIAL · imágenes generadas</t>
  </si>
  <si>
    <t>Se rellena solo cada vez que generas o importas una imagen desde Excel de escritorio. Pulsa el nombre del archivo para abrir la imagen.</t>
  </si>
  <si>
    <t>Nº</t>
  </si>
  <si>
    <t>Proyecto</t>
  </si>
  <si>
    <t>Seg.</t>
  </si>
  <si>
    <t>Resultado</t>
  </si>
  <si>
    <t>Imagen</t>
  </si>
  <si>
    <t>Resumen de la reforma</t>
  </si>
  <si>
    <t>AJUSTES · Motor de IA</t>
  </si>
  <si>
    <t>Solo para la generación automática en Excel de escritorio. En el móvil no hace falta.</t>
  </si>
  <si>
    <t>MOTOR DE IA</t>
  </si>
  <si>
    <t>Motor</t>
  </si>
  <si>
    <t>Carpeta de imágenes</t>
  </si>
  <si>
    <t>CLAVES API · en este equipo, no en el archivo</t>
  </si>
  <si>
    <t>Clave Gemini</t>
  </si>
  <si>
    <t>No configurada en este equipo</t>
  </si>
  <si>
    <t>Clave OpenAI</t>
  </si>
  <si>
    <t>Pulsa GUARDAR CLAVE, pega tu clave y después PROBAR CONEXIÓN. Así puedes compartir este Excel sin compartir tu clave.</t>
  </si>
  <si>
    <t>DÓNDE CONSEGUIR LA CLAVE</t>
  </si>
  <si>
    <t>Google Gemini</t>
  </si>
  <si>
    <t>aistudio.google.com/apikey</t>
  </si>
  <si>
    <t>OpenAI</t>
  </si>
  <si>
    <t>platform.openai.com/api-keys</t>
  </si>
  <si>
    <t>El coste por imagen depende del proveedor y del modelo: consulta sus precios. El modo asistido (sección 7 de PROYECTO) usa tu cuenta de Gemini o ChatGPT.</t>
  </si>
  <si>
    <t>MODELOS DISPONIBLES (octubre 2026)</t>
  </si>
  <si>
    <t>Gemini · rápido y de gran calidad. Recomendado.</t>
  </si>
  <si>
    <t>Gemini · máximo detalle; más lento y caro.</t>
  </si>
  <si>
    <t>OpenAI · edición con alta fidelidad a la foto.</t>
  </si>
  <si>
    <t>OpenAI · última generación.</t>
  </si>
  <si>
    <t>Si un proveedor retira un modelo, escribe el nombre nuevo en la celda del modelo (se admite cualquier valor).</t>
  </si>
</sst>
</file>

<file path=xl/styles.xml><?xml version="1.0" encoding="utf-8"?>
<styleSheet xmlns="http://schemas.openxmlformats.org/spreadsheetml/2006/main">
  <fonts count="21">
    <font>
      <sz val="11"/>
      <color theme="1"/>
      <name val="Arial"/>
      <family val="2"/>
    </font>
    <font>
      <b/>
      <sz val="26"/>
      <color rgb="FFFFFFFF"/>
      <name val="Arial"/>
      <family val="2"/>
    </font>
    <font>
      <b/>
      <sz val="13"/>
      <color rgb="FFFFFFFF"/>
      <name val="Arial"/>
      <family val="2"/>
    </font>
    <font>
      <sz val="12"/>
      <color rgb="FF2E2E2E"/>
      <name val="Arial"/>
      <family val="2"/>
    </font>
    <font>
      <b/>
      <sz val="11"/>
      <color rgb="FFFFFFFF"/>
      <name val="Arial"/>
      <family val="2"/>
    </font>
    <font>
      <sz val="11"/>
      <color rgb="FF2E2E2E"/>
      <name val="Arial"/>
      <family val="2"/>
    </font>
    <font>
      <b/>
      <u/>
      <sz val="12"/>
      <color rgb="FF1D4E5A"/>
      <name val="Arial"/>
      <family val="2"/>
    </font>
    <font>
      <sz val="10"/>
      <color rgb="FF7A7A7A"/>
      <name val="Arial"/>
      <family val="2"/>
    </font>
    <font>
      <b/>
      <sz val="20"/>
      <color rgb="FFFFFFFF"/>
      <name val="Arial"/>
      <family val="2"/>
    </font>
    <font>
      <b/>
      <u/>
      <sz val="10"/>
      <color rgb="FF1D4E5A"/>
      <name val="Arial"/>
      <family val="2"/>
    </font>
    <font>
      <i/>
      <sz val="9"/>
      <color rgb="FF7A7A7A"/>
      <name val="Arial"/>
      <family val="2"/>
    </font>
    <font>
      <b/>
      <sz val="10"/>
      <color rgb="FF2E2E2E"/>
      <name val="Arial"/>
      <family val="2"/>
    </font>
    <font>
      <sz val="10"/>
      <color rgb="FF2E2E2E"/>
      <name val="Arial"/>
      <family val="2"/>
    </font>
    <font>
      <sz val="8"/>
      <color rgb="FF7A7A7A"/>
      <name val="Arial"/>
      <family val="2"/>
    </font>
    <font>
      <b/>
      <sz val="10"/>
      <color rgb="FF1D4E5A"/>
      <name val="Arial"/>
      <family val="2"/>
    </font>
    <font>
      <sz val="9"/>
      <color rgb="FF2E2E2E"/>
      <name val="Arial"/>
      <family val="2"/>
    </font>
    <font>
      <i/>
      <sz val="8"/>
      <color rgb="FF7A7A7A"/>
      <name val="Arial"/>
      <family val="2"/>
    </font>
    <font>
      <i/>
      <sz val="11"/>
      <color rgb="FFB0A595"/>
      <name val="Arial"/>
      <family val="2"/>
    </font>
    <font>
      <b/>
      <sz val="10"/>
      <color rgb="FFFFFFFF"/>
      <name val="Arial"/>
      <family val="2"/>
    </font>
    <font>
      <u/>
      <sz val="10"/>
      <color rgb="FF1D4E5A"/>
      <name val="Arial"/>
      <family val="2"/>
    </font>
    <font>
      <sz val="9"/>
      <color rgb="FF2E2E2E"/>
      <name val="Consolas"/>
      <family val="2"/>
    </font>
  </fonts>
  <fills count="10">
    <fill>
      <patternFill patternType="none"/>
    </fill>
    <fill>
      <patternFill patternType="gray125"/>
    </fill>
    <fill>
      <patternFill patternType="solid">
        <fgColor rgb="FF1D4E5A"/>
        <bgColor indexed="64"/>
      </patternFill>
    </fill>
    <fill>
      <patternFill patternType="solid">
        <fgColor rgb="FFC8553D"/>
        <bgColor indexed="64"/>
      </patternFill>
    </fill>
    <fill>
      <patternFill patternType="solid">
        <fgColor rgb="FFFFF6D8"/>
        <bgColor indexed="64"/>
      </patternFill>
    </fill>
    <fill>
      <patternFill patternType="solid">
        <fgColor rgb="FFFFFFFF"/>
        <bgColor indexed="64"/>
      </patternFill>
    </fill>
    <fill>
      <patternFill patternType="solid">
        <fgColor rgb="FFF7F1E6"/>
        <bgColor indexed="64"/>
      </patternFill>
    </fill>
    <fill>
      <patternFill patternType="solid">
        <fgColor rgb="FFE8F0F1"/>
        <bgColor indexed="64"/>
      </patternFill>
    </fill>
    <fill>
      <patternFill patternType="solid">
        <fgColor rgb="FF10A37F"/>
        <bgColor indexed="64"/>
      </patternFill>
    </fill>
    <fill>
      <patternFill patternType="solid">
        <fgColor rgb="FFFBF8F2"/>
        <bgColor indexed="64"/>
      </patternFill>
    </fill>
  </fills>
  <borders count="8">
    <border>
      <left/>
      <right/>
      <top/>
      <bottom/>
      <diagonal/>
    </border>
    <border>
      <left style="thin">
        <color rgb="FFD9B26F"/>
      </left>
      <right style="thin">
        <color rgb="FFD9B26F"/>
      </right>
      <top style="thin">
        <color rgb="FFD9B26F"/>
      </top>
      <bottom style="thin">
        <color rgb="FFD9B26F"/>
      </bottom>
      <diagonal/>
    </border>
    <border>
      <left style="thin">
        <color rgb="FFBFBFBF"/>
      </left>
      <right style="thin">
        <color rgb="FFBFBFBF"/>
      </right>
      <top style="thin">
        <color rgb="FFBFBFBF"/>
      </top>
      <bottom style="thin">
        <color rgb="FFBFBFBF"/>
      </bottom>
      <diagonal/>
    </border>
    <border>
      <left style="thin">
        <color rgb="FFE6DCCB"/>
      </left>
      <right style="thin">
        <color rgb="FFE6DCCB"/>
      </right>
      <top style="thin">
        <color rgb="FFE6DCCB"/>
      </top>
      <bottom style="thin">
        <color rgb="FFE6DCCB"/>
      </bottom>
      <diagonal/>
    </border>
    <border>
      <left style="thin">
        <color rgb="FFD9D9D9"/>
      </left>
      <right style="thin">
        <color rgb="FFD9D9D9"/>
      </right>
      <top style="thin">
        <color rgb="FFD9D9D9"/>
      </top>
      <bottom style="thin">
        <color rgb="FFD9D9D9"/>
      </bottom>
      <diagonal/>
    </border>
    <border>
      <left style="thin">
        <color rgb="FFC5D6D9"/>
      </left>
      <right style="thin">
        <color rgb="FFC5D6D9"/>
      </right>
      <top style="thin">
        <color rgb="FFC5D6D9"/>
      </top>
      <bottom style="thin">
        <color rgb="FFC5D6D9"/>
      </bottom>
      <diagonal/>
    </border>
    <border>
      <left style="medium">
        <color rgb="FFC8553D"/>
      </left>
      <right style="medium">
        <color rgb="FFC8553D"/>
      </right>
      <top style="medium">
        <color rgb="FFC8553D"/>
      </top>
      <bottom style="medium">
        <color rgb="FFC8553D"/>
      </bottom>
      <diagonal/>
    </border>
    <border>
      <left style="thin">
        <color rgb="FF1D4E5A"/>
      </left>
      <right style="thin">
        <color rgb="FF1D4E5A"/>
      </right>
      <top style="thin">
        <color rgb="FF1D4E5A"/>
      </top>
      <bottom style="thin">
        <color rgb="FF1D4E5A"/>
      </bottom>
      <diagonal/>
    </border>
  </borders>
  <cellStyleXfs count="1">
    <xf numFmtId="0" fontId="0" fillId="0" borderId="0"/>
  </cellStyleXfs>
  <cellXfs count="46">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0" borderId="0" xfId="0" applyFont="1" applyAlignment="1">
      <alignment vertical="top" wrapText="1"/>
    </xf>
    <xf numFmtId="0" fontId="4" fillId="2" borderId="0" xfId="0" applyFont="1" applyFill="1" applyAlignment="1">
      <alignment horizontal="left" vertical="center" indent="1"/>
    </xf>
    <xf numFmtId="0" fontId="4" fillId="3" borderId="0" xfId="0" applyFont="1" applyFill="1" applyAlignment="1">
      <alignment horizontal="center" vertical="top"/>
    </xf>
    <xf numFmtId="0" fontId="5" fillId="0" borderId="0" xfId="0" applyFont="1" applyAlignment="1">
      <alignment vertical="top" wrapText="1"/>
    </xf>
    <xf numFmtId="0" fontId="4" fillId="2" borderId="0" xfId="0" applyFont="1" applyFill="1" applyAlignment="1">
      <alignment horizontal="center" vertical="top"/>
    </xf>
    <xf numFmtId="0" fontId="6" fillId="0" borderId="0" xfId="0" applyFont="1" applyAlignment="1">
      <alignment vertical="center"/>
    </xf>
    <xf numFmtId="0" fontId="5" fillId="4" borderId="1" xfId="0" applyFont="1" applyFill="1" applyBorder="1" applyAlignment="1">
      <alignment vertical="center"/>
    </xf>
    <xf numFmtId="0" fontId="5" fillId="5" borderId="2" xfId="0" applyFont="1" applyFill="1" applyBorder="1" applyAlignment="1">
      <alignment vertical="center"/>
    </xf>
    <xf numFmtId="0" fontId="5" fillId="3" borderId="0" xfId="0" applyFont="1" applyFill="1" applyAlignment="1">
      <alignment vertical="center"/>
    </xf>
    <xf numFmtId="0" fontId="7" fillId="0" borderId="0" xfId="0" applyFont="1" applyAlignment="1">
      <alignment vertical="top" wrapText="1"/>
    </xf>
    <xf numFmtId="0" fontId="8" fillId="2" borderId="0" xfId="0" applyFont="1" applyFill="1" applyAlignment="1">
      <alignment horizontal="left" vertical="center" indent="1"/>
    </xf>
    <xf numFmtId="0" fontId="9" fillId="0" borderId="0" xfId="0" applyFont="1" applyAlignment="1">
      <alignment vertical="center"/>
    </xf>
    <xf numFmtId="0" fontId="9" fillId="0" borderId="0" xfId="0" applyFont="1" applyAlignment="1">
      <alignment horizontal="right" vertical="center"/>
    </xf>
    <xf numFmtId="0" fontId="10" fillId="0" borderId="0" xfId="0" applyFont="1" applyAlignment="1">
      <alignment vertical="center" wrapText="1"/>
    </xf>
    <xf numFmtId="0" fontId="11" fillId="6" borderId="3" xfId="0" applyFont="1" applyFill="1" applyBorder="1" applyAlignment="1">
      <alignment horizontal="left" vertical="center" indent="1" wrapText="1"/>
    </xf>
    <xf numFmtId="0" fontId="12" fillId="0" borderId="4" xfId="0" applyFont="1" applyBorder="1" applyAlignment="1">
      <alignment vertical="center" wrapText="1"/>
    </xf>
    <xf numFmtId="0" fontId="13" fillId="0" borderId="4" xfId="0" applyFont="1" applyBorder="1" applyAlignment="1">
      <alignment vertical="center" wrapText="1"/>
    </xf>
    <xf numFmtId="0" fontId="5" fillId="4" borderId="1" xfId="0" applyFont="1" applyFill="1" applyBorder="1" applyAlignment="1" applyProtection="1">
      <alignment horizontal="left" vertical="center" indent="1" wrapText="1"/>
      <protection locked="0"/>
    </xf>
    <xf numFmtId="0" fontId="12" fillId="7" borderId="5" xfId="0" applyFont="1" applyFill="1" applyBorder="1" applyAlignment="1">
      <alignment vertical="top" wrapText="1"/>
    </xf>
    <xf numFmtId="0" fontId="14" fillId="0" borderId="4" xfId="0" applyFont="1" applyBorder="1" applyAlignment="1">
      <alignment vertical="center" wrapText="1"/>
    </xf>
    <xf numFmtId="0" fontId="12" fillId="6" borderId="4" xfId="0" applyFont="1" applyFill="1" applyBorder="1" applyAlignment="1">
      <alignment vertical="top" wrapText="1"/>
    </xf>
    <xf numFmtId="0" fontId="12" fillId="0" borderId="0" xfId="0" applyFont="1" applyAlignment="1">
      <alignment vertical="top" wrapText="1"/>
    </xf>
    <xf numFmtId="0" fontId="15" fillId="5" borderId="6" xfId="0" applyFont="1" applyFill="1" applyBorder="1" applyAlignment="1">
      <alignment vertical="top" wrapText="1"/>
    </xf>
    <xf numFmtId="0" fontId="4" fillId="2" borderId="0" xfId="0" applyFont="1" applyFill="1" applyAlignment="1">
      <alignment horizontal="center" vertical="center"/>
    </xf>
    <xf numFmtId="0" fontId="4" fillId="8" borderId="0" xfId="0" applyFont="1" applyFill="1" applyAlignment="1">
      <alignment horizontal="center" vertical="center"/>
    </xf>
    <xf numFmtId="0" fontId="16" fillId="0" borderId="0" xfId="0" applyFont="1" applyAlignment="1">
      <alignment vertical="center" wrapText="1"/>
    </xf>
    <xf numFmtId="0" fontId="4" fillId="3" borderId="0" xfId="0" applyFont="1" applyFill="1" applyAlignment="1">
      <alignment horizontal="left" vertical="center" indent="1"/>
    </xf>
    <xf numFmtId="0" fontId="17" fillId="9" borderId="3" xfId="0" applyFont="1" applyFill="1" applyBorder="1" applyAlignment="1">
      <alignment horizontal="center" vertical="center" wrapText="1"/>
    </xf>
    <xf numFmtId="0" fontId="11" fillId="6" borderId="3" xfId="0" applyFont="1" applyFill="1" applyBorder="1" applyAlignment="1">
      <alignment horizontal="left" vertical="center" indent="1"/>
    </xf>
    <xf numFmtId="0" fontId="12" fillId="0" borderId="4" xfId="0" applyFont="1" applyBorder="1" applyAlignment="1">
      <alignment vertical="top" wrapText="1"/>
    </xf>
    <xf numFmtId="0" fontId="11" fillId="6" borderId="3" xfId="0" applyFont="1" applyFill="1" applyBorder="1" applyAlignment="1">
      <alignment vertical="top" indent="1"/>
    </xf>
    <xf numFmtId="0" fontId="10" fillId="0" borderId="0" xfId="0" applyFont="1" applyAlignment="1">
      <alignment vertical="top" wrapText="1"/>
    </xf>
    <xf numFmtId="0" fontId="15" fillId="0" borderId="0" xfId="0" applyFont="1" applyAlignment="1">
      <alignment vertical="top" wrapText="1"/>
    </xf>
    <xf numFmtId="0" fontId="10" fillId="0" borderId="0" xfId="0" applyFont="1" applyAlignment="1">
      <alignment vertical="center"/>
    </xf>
    <xf numFmtId="0" fontId="18" fillId="2" borderId="7" xfId="0" applyFont="1" applyFill="1" applyBorder="1" applyAlignment="1">
      <alignment vertical="center" wrapText="1"/>
    </xf>
    <xf numFmtId="0" fontId="5" fillId="2" borderId="0" xfId="0" applyFont="1" applyFill="1" applyAlignment="1">
      <alignment vertical="center"/>
    </xf>
    <xf numFmtId="0" fontId="5" fillId="4" borderId="1" xfId="0" applyFont="1" applyFill="1" applyBorder="1" applyAlignment="1" applyProtection="1">
      <alignment horizontal="left" vertical="center" indent="1"/>
      <protection locked="0"/>
    </xf>
    <xf numFmtId="0" fontId="12" fillId="0" borderId="4" xfId="0" applyFont="1" applyBorder="1" applyAlignment="1">
      <alignment vertical="center"/>
    </xf>
    <xf numFmtId="0" fontId="19" fillId="0" borderId="4" xfId="0" applyFont="1" applyBorder="1" applyAlignment="1">
      <alignment vertical="center"/>
    </xf>
    <xf numFmtId="0" fontId="20" fillId="6" borderId="3" xfId="0" applyFont="1" applyFill="1" applyBorder="1" applyAlignment="1">
      <alignment vertical="center"/>
    </xf>
    <xf numFmtId="0" fontId="15" fillId="0" borderId="4" xfId="0" applyFont="1" applyBorder="1" applyAlignment="1">
      <alignment vertical="center"/>
    </xf>
    <xf numFmtId="0" fontId="4" fillId="2" borderId="0" xfId="0" applyFont="1" applyFill="1" applyAlignment="1">
      <alignment vertical="center"/>
    </xf>
    <xf numFmtId="0" fontId="15" fillId="0" borderId="0" xfId="0" applyFont="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emini.google.com/app" TargetMode="External"/><Relationship Id="rId2" Type="http://schemas.openxmlformats.org/officeDocument/2006/relationships/hyperlink" Target="https://chatgpt.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istudio.google.com/apikey" TargetMode="External"/><Relationship Id="rId2" Type="http://schemas.openxmlformats.org/officeDocument/2006/relationships/hyperlink" Target="https://platform.openai.com/api-keys" TargetMode="External"/></Relationships>
</file>

<file path=xl/worksheets/sheet1.xml><?xml version="1.0" encoding="utf-8"?>
<worksheet xmlns="http://schemas.openxmlformats.org/spreadsheetml/2006/main" xmlns:r="http://schemas.openxmlformats.org/officeDocument/2006/relationships">
  <sheetPr>
    <tabColor rgb="FF1D4E5A"/>
    <pageSetUpPr fitToPage="1"/>
  </sheetPr>
  <dimension ref="B1:C32"/>
  <sheetViews>
    <sheetView showGridLines="0" tabSelected="1" workbookViewId="0"/>
  </sheetViews>
  <sheetFormatPr defaultRowHeight="20" customHeight="1"/>
  <cols>
    <col min="1" max="1" width="2.28515625" customWidth="1"/>
    <col min="2" max="2" width="5.7109375" customWidth="1"/>
    <col min="3" max="3" width="62.7109375" customWidth="1"/>
    <col min="4" max="4" width="2.28515625" customWidth="1"/>
  </cols>
  <sheetData>
    <row r="1" spans="2:3" ht="46" customHeight="1">
      <c r="B1" s="1" t="s">
        <v>379</v>
      </c>
      <c r="C1" s="1"/>
    </row>
    <row r="2" spans="2:3" ht="26" customHeight="1">
      <c r="B2" s="2" t="s">
        <v>380</v>
      </c>
      <c r="C2" s="2"/>
    </row>
    <row r="3" spans="2:3" ht="8" customHeight="1"/>
    <row r="4" spans="2:3" ht="66" customHeight="1">
      <c r="B4" s="3" t="s">
        <v>381</v>
      </c>
      <c r="C4" s="3"/>
    </row>
    <row r="6" spans="2:3" ht="24" customHeight="1">
      <c r="B6" s="4" t="s">
        <v>382</v>
      </c>
      <c r="C6" s="4"/>
    </row>
    <row r="7" spans="2:3" ht="34" customHeight="1">
      <c r="B7" s="5">
        <v>1</v>
      </c>
      <c r="C7" s="6" t="s">
        <v>383</v>
      </c>
    </row>
    <row r="8" spans="2:3" ht="34" customHeight="1">
      <c r="B8" s="5">
        <v>2</v>
      </c>
      <c r="C8" s="6" t="s">
        <v>384</v>
      </c>
    </row>
    <row r="9" spans="2:3" ht="34" customHeight="1">
      <c r="B9" s="5">
        <v>3</v>
      </c>
      <c r="C9" s="6" t="s">
        <v>385</v>
      </c>
    </row>
    <row r="11" spans="2:3" ht="24" customHeight="1">
      <c r="B11" s="4" t="s">
        <v>386</v>
      </c>
      <c r="C11" s="4"/>
    </row>
    <row r="12" spans="2:3" ht="50" customHeight="1">
      <c r="B12" s="7" t="s">
        <v>387</v>
      </c>
      <c r="C12" s="6" t="s">
        <v>388</v>
      </c>
    </row>
    <row r="13" spans="2:3" ht="50" customHeight="1">
      <c r="B13" s="7" t="s">
        <v>389</v>
      </c>
      <c r="C13" s="6" t="s">
        <v>390</v>
      </c>
    </row>
    <row r="15" spans="2:3" ht="24" customHeight="1">
      <c r="B15" s="4" t="s">
        <v>391</v>
      </c>
      <c r="C15" s="4"/>
    </row>
    <row r="16" spans="2:3" ht="50" customHeight="1">
      <c r="B16" s="5">
        <v>1</v>
      </c>
      <c r="C16" s="6" t="s">
        <v>392</v>
      </c>
    </row>
    <row r="17" spans="2:3" ht="34" customHeight="1">
      <c r="B17" s="5">
        <v>2</v>
      </c>
      <c r="C17" s="6" t="s">
        <v>393</v>
      </c>
    </row>
    <row r="18" spans="2:3" ht="34" customHeight="1">
      <c r="B18" s="5">
        <v>3</v>
      </c>
      <c r="C18" s="6" t="s">
        <v>394</v>
      </c>
    </row>
    <row r="20" spans="2:3" ht="24" customHeight="1">
      <c r="B20" s="4" t="s">
        <v>395</v>
      </c>
      <c r="C20" s="4"/>
    </row>
    <row r="21" spans="2:3" ht="26" customHeight="1">
      <c r="B21" s="8" t="s">
        <v>396</v>
      </c>
      <c r="C21" s="8"/>
    </row>
    <row r="22" spans="2:3" ht="26" customHeight="1">
      <c r="B22" s="8" t="s">
        <v>397</v>
      </c>
      <c r="C22" s="8"/>
    </row>
    <row r="23" spans="2:3" ht="26" customHeight="1">
      <c r="B23" s="8" t="s">
        <v>398</v>
      </c>
      <c r="C23" s="8"/>
    </row>
    <row r="24" spans="2:3" ht="26" customHeight="1">
      <c r="B24" s="8" t="s">
        <v>399</v>
      </c>
      <c r="C24" s="8"/>
    </row>
    <row r="26" spans="2:3" ht="24" customHeight="1">
      <c r="B26" s="4" t="s">
        <v>400</v>
      </c>
      <c r="C26" s="4"/>
    </row>
    <row r="27" spans="2:3" ht="22" customHeight="1">
      <c r="B27" s="9"/>
      <c r="C27" s="6" t="s">
        <v>401</v>
      </c>
    </row>
    <row r="28" spans="2:3" ht="22" customHeight="1">
      <c r="B28" s="10"/>
      <c r="C28" s="6" t="s">
        <v>402</v>
      </c>
    </row>
    <row r="29" spans="2:3" ht="22" customHeight="1">
      <c r="B29" s="11"/>
      <c r="C29" s="6" t="s">
        <v>403</v>
      </c>
    </row>
    <row r="31" spans="2:3" ht="24" customHeight="1">
      <c r="B31" s="4" t="s">
        <v>404</v>
      </c>
      <c r="C31" s="4"/>
    </row>
    <row r="32" spans="2:3" ht="64" customHeight="1">
      <c r="B32" s="12" t="s">
        <v>405</v>
      </c>
      <c r="C32" s="12"/>
    </row>
  </sheetData>
  <sheetProtection sheet="1" scenarios="1"/>
  <mergeCells count="14">
    <mergeCell ref="B1:C1"/>
    <mergeCell ref="B2:C2"/>
    <mergeCell ref="B4:C4"/>
    <mergeCell ref="B6:C6"/>
    <mergeCell ref="B11:C11"/>
    <mergeCell ref="B15:C15"/>
    <mergeCell ref="B20:C20"/>
    <mergeCell ref="B21:C21"/>
    <mergeCell ref="B22:C22"/>
    <mergeCell ref="B23:C23"/>
    <mergeCell ref="B24:C24"/>
    <mergeCell ref="B26:C26"/>
    <mergeCell ref="B31:C31"/>
    <mergeCell ref="B32:C32"/>
  </mergeCells>
  <hyperlinks>
    <hyperlink ref="B21" location="'PROYECTO'!C10" display="→  PROYECTO · configurar la reforma"/>
    <hyperlink ref="B22" location="'RESULTADO'!A1" display="→  RESULTADO · antes y después"/>
    <hyperlink ref="B23" location="'HISTORIAL'!A1" display="→  HISTORIAL · imágenes generadas"/>
    <hyperlink ref="B24" location="'AJUSTES'!C6" display="→  AJUSTES · motor de IA y clave API"/>
  </hyperlinks>
  <printOptions horizontalCentered="1"/>
  <pageMargins left="0.4" right="0.4" top="0.5" bottom="0.5" header="0.3" footer="0.3"/>
  <pageSetup paperSize="9" orientation="portrait"/>
</worksheet>
</file>

<file path=xl/worksheets/sheet2.xml><?xml version="1.0" encoding="utf-8"?>
<worksheet xmlns="http://schemas.openxmlformats.org/spreadsheetml/2006/main" xmlns:r="http://schemas.openxmlformats.org/officeDocument/2006/relationships">
  <sheetPr>
    <tabColor rgb="FFC8553D"/>
    <pageSetUpPr fitToPage="1"/>
  </sheetPr>
  <dimension ref="B1:C46"/>
  <sheetViews>
    <sheetView showGridLines="0" workbookViewId="0">
      <selection activeCell="C10" sqref="C10"/>
    </sheetView>
  </sheetViews>
  <sheetFormatPr defaultRowHeight="22" customHeight="1"/>
  <cols>
    <col min="1" max="1" width="2.28515625" customWidth="1"/>
    <col min="2" max="2" width="24.7109375" customWidth="1"/>
    <col min="3" max="3" width="38.7109375" customWidth="1"/>
    <col min="4" max="4" width="3.28515625" customWidth="1"/>
    <col min="5" max="10" width="13.28515625" customWidth="1"/>
    <col min="11" max="11" width="2.7109375" customWidth="1"/>
  </cols>
  <sheetData>
    <row r="1" spans="2:3" ht="40" customHeight="1">
      <c r="B1" s="13" t="s">
        <v>406</v>
      </c>
      <c r="C1" s="13"/>
    </row>
    <row r="2" spans="2:3" ht="22" customHeight="1">
      <c r="B2" s="14" t="s">
        <v>407</v>
      </c>
      <c r="C2" s="15" t="s">
        <v>408</v>
      </c>
    </row>
    <row r="3" spans="2:3" ht="22" customHeight="1">
      <c r="B3" s="16" t="s">
        <v>409</v>
      </c>
      <c r="C3" s="16"/>
    </row>
    <row r="4" spans="2:3" ht="24" customHeight="1">
      <c r="B4" s="4" t="s">
        <v>410</v>
      </c>
      <c r="C4" s="4"/>
    </row>
    <row r="5" spans="2:3" ht="22" customHeight="1">
      <c r="B5" s="17" t="s">
        <v>411</v>
      </c>
      <c r="C5" s="18" t="s">
        <v>412</v>
      </c>
    </row>
    <row r="6" spans="2:3" ht="22" customHeight="1">
      <c r="B6" s="17" t="s">
        <v>413</v>
      </c>
      <c r="C6" s="19"/>
    </row>
    <row r="7" spans="2:3" ht="8" customHeight="1"/>
    <row r="8" spans="2:3" ht="24" customHeight="1">
      <c r="B8" s="4" t="s">
        <v>414</v>
      </c>
      <c r="C8" s="4"/>
    </row>
    <row r="9" spans="2:3" ht="22" customHeight="1">
      <c r="B9" s="17" t="s">
        <v>415</v>
      </c>
      <c r="C9" s="20" t="s">
        <v>416</v>
      </c>
    </row>
    <row r="10" spans="2:3" ht="22" customHeight="1">
      <c r="B10" s="17" t="s">
        <v>0</v>
      </c>
      <c r="C10" s="20" t="s">
        <v>4</v>
      </c>
    </row>
    <row r="11" spans="2:3" ht="22" customHeight="1">
      <c r="B11" s="17" t="s">
        <v>38</v>
      </c>
      <c r="C11" s="20" t="s">
        <v>39</v>
      </c>
    </row>
    <row r="12" spans="2:3" ht="22" customHeight="1">
      <c r="B12" s="17" t="s">
        <v>341</v>
      </c>
      <c r="C12" s="20" t="s">
        <v>58</v>
      </c>
    </row>
    <row r="13" spans="2:3" ht="22" customHeight="1">
      <c r="B13" s="17" t="s">
        <v>417</v>
      </c>
      <c r="C13" s="20" t="s">
        <v>89</v>
      </c>
    </row>
    <row r="14" spans="2:3" ht="8" customHeight="1"/>
    <row r="15" spans="2:3" ht="24" customHeight="1">
      <c r="B15" s="4" t="s">
        <v>418</v>
      </c>
      <c r="C15" s="4"/>
    </row>
    <row r="16" spans="2:3" ht="22" customHeight="1">
      <c r="B16" s="17" t="s">
        <v>93</v>
      </c>
      <c r="C16" s="20" t="s">
        <v>96</v>
      </c>
    </row>
    <row r="17" spans="2:3" ht="22" customHeight="1">
      <c r="B17" s="17" t="s">
        <v>419</v>
      </c>
      <c r="C17" s="20" t="s">
        <v>122</v>
      </c>
    </row>
    <row r="18" spans="2:3" ht="22" customHeight="1">
      <c r="B18" s="17" t="s">
        <v>420</v>
      </c>
      <c r="C18" s="20" t="s">
        <v>143</v>
      </c>
    </row>
    <row r="19" spans="2:3" ht="22" customHeight="1">
      <c r="B19" s="17" t="s">
        <v>169</v>
      </c>
      <c r="C19" s="20" t="s">
        <v>171</v>
      </c>
    </row>
    <row r="20" spans="2:3" ht="22" customHeight="1">
      <c r="B20" s="17" t="s">
        <v>349</v>
      </c>
      <c r="C20" s="20" t="s">
        <v>185</v>
      </c>
    </row>
    <row r="21" spans="2:3" ht="22" customHeight="1">
      <c r="B21" s="17" t="s">
        <v>421</v>
      </c>
      <c r="C21" s="20" t="s">
        <v>199</v>
      </c>
    </row>
    <row r="22" spans="2:3" ht="22" customHeight="1">
      <c r="B22" s="17" t="s">
        <v>422</v>
      </c>
      <c r="C22" s="20" t="s">
        <v>199</v>
      </c>
    </row>
    <row r="23" spans="2:3" ht="22" customHeight="1">
      <c r="B23" s="17" t="s">
        <v>12</v>
      </c>
      <c r="C23" s="20" t="s">
        <v>199</v>
      </c>
    </row>
    <row r="24" spans="2:3" ht="22" customHeight="1">
      <c r="B24" s="17" t="s">
        <v>240</v>
      </c>
      <c r="C24" s="20" t="s">
        <v>246</v>
      </c>
    </row>
    <row r="25" spans="2:3" ht="22" customHeight="1">
      <c r="B25" s="17" t="s">
        <v>423</v>
      </c>
      <c r="C25" s="20" t="s">
        <v>256</v>
      </c>
    </row>
    <row r="26" spans="2:3" ht="44" customHeight="1">
      <c r="B26" s="17" t="s">
        <v>424</v>
      </c>
      <c r="C26" s="20" t="s">
        <v>425</v>
      </c>
    </row>
    <row r="27" spans="2:3" ht="8" customHeight="1"/>
    <row r="28" spans="2:3" ht="24" customHeight="1">
      <c r="B28" s="4" t="s">
        <v>426</v>
      </c>
      <c r="C28" s="4"/>
    </row>
    <row r="29" spans="2:3" ht="22" customHeight="1">
      <c r="B29" s="17" t="s">
        <v>264</v>
      </c>
      <c r="C29" s="20" t="s">
        <v>266</v>
      </c>
    </row>
    <row r="30" spans="2:3" ht="22" customHeight="1">
      <c r="B30" s="17" t="s">
        <v>427</v>
      </c>
      <c r="C30" s="20" t="s">
        <v>298</v>
      </c>
    </row>
    <row r="31" spans="2:3" ht="22" customHeight="1">
      <c r="B31" s="17" t="s">
        <v>303</v>
      </c>
      <c r="C31" s="20" t="s">
        <v>304</v>
      </c>
    </row>
    <row r="32" spans="2:3" ht="22" customHeight="1">
      <c r="B32" s="17" t="s">
        <v>428</v>
      </c>
      <c r="C32" s="20" t="s">
        <v>317</v>
      </c>
    </row>
    <row r="33" spans="2:3" ht="8" customHeight="1"/>
    <row r="34" spans="2:3" ht="24" customHeight="1">
      <c r="B34" s="4" t="s">
        <v>429</v>
      </c>
      <c r="C34" s="4"/>
    </row>
    <row r="35" spans="2:3" ht="46" customHeight="1">
      <c r="B35" s="21" t="s">
        <v>430</v>
      </c>
      <c r="C35" s="21"/>
    </row>
    <row r="36" spans="2:3" ht="22" customHeight="1">
      <c r="B36" s="17" t="s">
        <v>431</v>
      </c>
      <c r="C36" s="20" t="s">
        <v>432</v>
      </c>
    </row>
    <row r="37" spans="2:3" ht="8" customHeight="1"/>
    <row r="38" spans="2:3" ht="24" customHeight="1">
      <c r="B38" s="4" t="s">
        <v>433</v>
      </c>
      <c r="C38" s="4"/>
    </row>
    <row r="39" spans="2:3" ht="34" customHeight="1">
      <c r="B39" s="17" t="s">
        <v>434</v>
      </c>
      <c r="C39" s="22" t="s">
        <v>435</v>
      </c>
    </row>
    <row r="40" spans="2:3" ht="128" customHeight="1">
      <c r="B40" s="23" t="str">
        <f>"Estancia: "&amp;ProyEstancia&amp;"  ·  "&amp;ProyTipo&amp;CHAR(10)&amp;"Estilo: "&amp;ProyEstilo&amp;" (intensidad "&amp;LOWER(ProyIntensidad)&amp;")"&amp;CHAR(10)&amp;"Suelo: "&amp;RefSuelo&amp;"  ·  Paredes: "&amp;RefParedes&amp;" / "&amp;RefColor&amp;CHAR(10)&amp;"Techo: "&amp;RefTecho&amp;"  ·  Carpintería: "&amp;RefCarpinteria&amp;CHAR(10)&amp;IF(AND(CALC!$B$11="-",CALC!$B$12="-"),"","Cocina: "&amp;RefCocina&amp;"  ·  Encimera: "&amp;RefEncimera&amp;CHAR(10))&amp;IF(CALC!$B$13="-","","Baño: "&amp;RefBano&amp;CHAR(10))&amp;"Iluminación: "&amp;RefIluminacion&amp;"  ·  Mobiliario: "&amp;RefMobiliario&amp;CHAR(10)&amp;"Imagen: "&amp;FmtProporcion&amp;"  ·  "&amp;FmtCalidad&amp;"  ·  "&amp;FmtEstilo&amp;"  ·  "&amp;FmtLuz&amp;IF(LEN(TRIM(RefNotas))&gt;0,CHAR(10)&amp;"Notas: "&amp;TRIM(RefNotas),"")&amp;IF(LEN(TRIM(EstConservar))&gt;0,CHAR(10)&amp;"Conservar también: "&amp;TRIM(EstConservar),"")</f>
        <v>Estancia: Salón-comedor  ·  Reforma integral
Estilo: Nórdico (intensidad media)
Suelo: Parquet de roble natural  ·  Paredes: Pintura lisa / Blanco roto
Techo: Liso blanco  ·  Carpintería: Puertas lacadas en blanco
Iluminación: Lámparas colgantes de diseño  ·  Mobiliario: Amueblar según el estilo
Imagen: Igual que la foto original  ·  Alta (2K)  ·  Foto realista  ·  Luz natural de día
Notas: Sofá en tonos claros, alfombra de yute y plantas naturales</v>
      </c>
      <c r="C40" s="23"/>
    </row>
    <row r="41" spans="2:3" ht="8" customHeight="1"/>
    <row r="42" spans="2:3" ht="24" customHeight="1">
      <c r="B42" s="4" t="s">
        <v>436</v>
      </c>
      <c r="C42" s="4"/>
    </row>
    <row r="43" spans="2:3" ht="58" customHeight="1">
      <c r="B43" s="24" t="s">
        <v>437</v>
      </c>
      <c r="C43" s="24"/>
    </row>
    <row r="44" spans="2:3" ht="262.804" customHeight="1">
      <c r="B44" s="25" t="str">
        <f>CALC!$B$23&amp;" "&amp;CALC!$B$24&amp;" "&amp;CALC!$B$25&amp;" "&amp;CALC!$B$26&amp;IF(CALC!$B$27="",""," "&amp;CALC!$B$27)&amp;" "&amp;CALC!$B$28</f>
        <v>Interior renovation visualization. Edit the attached photo (space: open living and dining room) to show how it will look after this renovation: complete renovation of all finishes, fixtures, lighting and furniture. STRICT RULE - KEEP THE ORIGINAL ARCHITECTURE: this is the same real space after the renovation. Keep exactly the same camera position, viewpoint, height, angle, lens, perspective, framing and vanishing lines as in the original photo. Do not move, add, remove, resize or reshape any wall, partition, window, door, opening, column, beam, arch, staircase, radiator or built-in element. Keep the room dimensions, ceiling height, layout and proportions identical, so the new image overlays perfectly on the original one. Only surfaces, finishes, colors, fixtures, light fittings and furniture may change, as specified below. Interior design style: Scandinavian: light woods, white and soft neutral tones, cozy textiles, simple functional furniture. Make clearly visible changes while keeping a realistic, coherent result. Changes: floor: natural oak wood plank flooring. Wall finish: smooth painted walls. Wall color: warm off-white. Ceiling: smooth flat white ceiling. Doors and windows: white lacquered interior doors. Light fittings: designer pendant lamps. Furniture and decor: new furniture and decor matching the chosen style, realistically sized for the space. Additional client requests (written in Spanish; follow them as long as they do not change the architecture): Sofá en tonos claros, alfombra de yute y plantas naturales. Output: photorealistic interior photograph, as if taken by a professional real-estate photographer. Lighting: bright natural daylight entering through the existing windows. Keep exactly the same framing and aspect ratio as the original photo. Realistic materials and textures, correct real-world scale, coherent shadows and reflections. No text, labels, watermarks or people.</v>
      </c>
      <c r="C44" s="25"/>
    </row>
    <row r="45" spans="2:3" ht="30" customHeight="1">
      <c r="B45" s="26" t="s">
        <v>438</v>
      </c>
      <c r="C45" s="27" t="s">
        <v>439</v>
      </c>
    </row>
    <row r="46" spans="2:3" ht="26" customHeight="1">
      <c r="B46" s="28" t="s">
        <v>440</v>
      </c>
      <c r="C46" s="28"/>
    </row>
  </sheetData>
  <sheetProtection sheet="1" scenarios="1"/>
  <mergeCells count="14">
    <mergeCell ref="B1:C1"/>
    <mergeCell ref="B3:C3"/>
    <mergeCell ref="B4:C4"/>
    <mergeCell ref="B8:C8"/>
    <mergeCell ref="B15:C15"/>
    <mergeCell ref="B28:C28"/>
    <mergeCell ref="B34:C34"/>
    <mergeCell ref="B35:C35"/>
    <mergeCell ref="B38:C38"/>
    <mergeCell ref="B40:C40"/>
    <mergeCell ref="B42:C42"/>
    <mergeCell ref="B43:C43"/>
    <mergeCell ref="B44:C44"/>
    <mergeCell ref="B46:C46"/>
  </mergeCells>
  <dataValidations count="21">
    <dataValidation allowBlank="1" showInputMessage="1" showErrorMessage="1" promptTitle="Nombre del proyecto" prompt="Texto libre. Se usa para nombrar las imágenes." sqref="C9"/>
    <dataValidation type="list" allowBlank="1" showInputMessage="1" showErrorMessage="1" errorTitle="Opción no válida" error="Elige una opción de la lista desplegable." promptTitle="Estancia" prompt="¿Qué se ve en la foto?" sqref="C10">
      <formula1>L_Estancia</formula1>
    </dataValidation>
    <dataValidation type="list" allowBlank="1" showInputMessage="1" showErrorMessage="1" errorTitle="Opción no válida" error="Elige una opción de la lista desplegable." promptTitle="Tipo de reforma" prompt="Alcance de la reforma." sqref="C11">
      <formula1>L_Tipo</formula1>
    </dataValidation>
    <dataValidation type="list" allowBlank="1" showInputMessage="1" showErrorMessage="1" errorTitle="Opción no válida" error="Elige una opción de la lista desplegable." promptTitle="Estilo decorativo" prompt="Estilo de interiorismo del resultado." sqref="C12">
      <formula1>L_Estilo</formula1>
    </dataValidation>
    <dataValidation type="list" allowBlank="1" showInputMessage="1" showErrorMessage="1" errorTitle="Opción no válida" error="Elige una opción de la lista desplegable." promptTitle="Intensidad del cambio" prompt="Cuánto cambian acabados y muebles. La arquitectura nunca cambia." sqref="C13">
      <formula1>L_Intensidad</formula1>
    </dataValidation>
    <dataValidation type="list" allowBlank="1" showInputMessage="1" showErrorMessage="1" errorTitle="Opción no válida" error="Elige una opción de la lista desplegable." promptTitle="Suelo" prompt="Nuevo suelo o «Mantener actual»." sqref="C16">
      <formula1>L_Suelo</formula1>
    </dataValidation>
    <dataValidation type="list" allowBlank="1" showInputMessage="1" showErrorMessage="1" errorTitle="Opción no válida" error="Elige una opción de la lista desplegable." promptTitle="Paredes · acabado" prompt="Revestimiento de las paredes." sqref="C17">
      <formula1>L_Paredes</formula1>
    </dataValidation>
    <dataValidation type="list" allowBlank="1" showInputMessage="1" showErrorMessage="1" errorTitle="Opción no válida" error="Elige una opción de la lista desplegable." promptTitle="Paredes · color" prompt="Color principal de paredes." sqref="C18">
      <formula1>L_Color</formula1>
    </dataValidation>
    <dataValidation type="list" allowBlank="1" showInputMessage="1" showErrorMessage="1" errorTitle="Opción no válida" error="Elige una opción de la lista desplegable." promptTitle="Techo" prompt="Acabado del techo (la altura no cambia)." sqref="C19">
      <formula1>L_Techo</formula1>
    </dataValidation>
    <dataValidation type="list" allowBlank="1" showInputMessage="1" showErrorMessage="1" errorTitle="Opción no válida" error="Elige una opción de la lista desplegable." promptTitle="Puertas y ventanas" prompt="Acabado de carpinterías. Huecos y tamaños se mantienen." sqref="C20">
      <formula1>L_Carpinteria</formula1>
    </dataValidation>
    <dataValidation type="list" allowBlank="1" showInputMessage="1" showErrorMessage="1" errorTitle="Opción no válida" error="Elige una opción de la lista desplegable." promptTitle="Cocina · muebles" prompt="Solo si en la foto hay cocina." sqref="C21">
      <formula1>L_Cocina</formula1>
    </dataValidation>
    <dataValidation type="list" allowBlank="1" showInputMessage="1" showErrorMessage="1" errorTitle="Opción no válida" error="Elige una opción de la lista desplegable." promptTitle="Cocina · encimera" prompt="Solo si en la foto hay cocina." sqref="C22">
      <formula1>L_Encimera</formula1>
    </dataValidation>
    <dataValidation type="list" allowBlank="1" showInputMessage="1" showErrorMessage="1" errorTitle="Opción no válida" error="Elige una opción de la lista desplegable." promptTitle="Baño" prompt="Solo si en la foto hay baño. Los sanitarios quedan en su sitio." sqref="C23">
      <formula1>L_Bano</formula1>
    </dataValidation>
    <dataValidation type="list" allowBlank="1" showInputMessage="1" showErrorMessage="1" errorTitle="Opción no válida" error="Elige una opción de la lista desplegable." promptTitle="Iluminación" prompt="Lámparas y puntos de luz." sqref="C24">
      <formula1>L_Iluminacion</formula1>
    </dataValidation>
    <dataValidation type="list" allowBlank="1" showInputMessage="1" showErrorMessage="1" errorTitle="Opción no válida" error="Elige una opción de la lista desplegable." promptTitle="Mobiliario y decoración" prompt="Qué hacer con los muebles." sqref="C25">
      <formula1>L_Mobiliario</formula1>
    </dataValidation>
    <dataValidation allowBlank="1" showInputMessage="1" showErrorMessage="1" promptTitle="Notas adicionales" prompt="Texto libre (opcional). Ej.: sofá verde, estantería a medida." sqref="C26"/>
    <dataValidation type="list" allowBlank="1" showInputMessage="1" showErrorMessage="1" errorTitle="Opción no válida" error="Elige una opción de la lista desplegable." promptTitle="Proporción" prompt="Recomendado: igual que la foto, para no recortar ni inventar partes de la estancia." sqref="C29">
      <formula1>L_Proporcion</formula1>
    </dataValidation>
    <dataValidation type="list" allowBlank="1" showInputMessage="1" showErrorMessage="1" errorTitle="Opción no válida" error="Elige una opción de la lista desplegable." promptTitle="Calidad / resolución" prompt="Más calidad = más lenta (y más cara con API)." sqref="C30">
      <formula1>L_Calidad</formula1>
    </dataValidation>
    <dataValidation type="list" allowBlank="1" showInputMessage="1" showErrorMessage="1" errorTitle="Opción no válida" error="Elige una opción de la lista desplegable." promptTitle="Estilo de imagen" prompt="Foto realista, render, boceto…" sqref="C31">
      <formula1>L_EstiloImagen</formula1>
    </dataValidation>
    <dataValidation type="list" allowBlank="1" showInputMessage="1" showErrorMessage="1" errorTitle="Opción no válida" error="Elige una opción de la lista desplegable." promptTitle="Luz de la escena" prompt="Ambiente de luz del resultado." sqref="C32">
      <formula1>L_Luz</formula1>
    </dataValidation>
    <dataValidation allowBlank="1" showInputMessage="1" showErrorMessage="1" promptTitle="Conservar también" prompt="Elementos concretos que no deben cambiar. Ej.: la chimenea, el radiador de hierro." sqref="C36"/>
  </dataValidations>
  <hyperlinks>
    <hyperlink ref="B2" location="'INICIO'!A1" display="← Inicio"/>
    <hyperlink ref="C2" location="'RESULTADO'!A1" display="Ver RESULTADO →"/>
    <hyperlink ref="B45" r:id="rId1"/>
    <hyperlink ref="C45" r:id="rId2"/>
  </hyperlinks>
  <printOptions horizontalCentered="1"/>
  <pageMargins left="0.4" right="0.4" top="0.5" bottom="0.5" header="0.3" footer="0.3"/>
  <pageSetup paperSize="9" orientation="portrait"/>
</worksheet>
</file>

<file path=xl/worksheets/sheet3.xml><?xml version="1.0" encoding="utf-8"?>
<worksheet xmlns="http://schemas.openxmlformats.org/spreadsheetml/2006/main" xmlns:r="http://schemas.openxmlformats.org/officeDocument/2006/relationships">
  <sheetPr>
    <tabColor rgb="FFE9A23B"/>
    <pageSetUpPr fitToPage="1"/>
  </sheetPr>
  <dimension ref="B1:N33"/>
  <sheetViews>
    <sheetView showGridLines="0" workbookViewId="0"/>
  </sheetViews>
  <sheetFormatPr defaultRowHeight="22" customHeight="1"/>
  <cols>
    <col min="1" max="1" width="2.28515625" customWidth="1"/>
    <col min="2" max="7" width="13.28515625" customWidth="1"/>
    <col min="8" max="8" width="3.28515625" customWidth="1"/>
    <col min="9" max="14" width="13.28515625" customWidth="1"/>
    <col min="15" max="15" width="2.28515625" customWidth="1"/>
  </cols>
  <sheetData>
    <row r="1" spans="2:14" ht="40" customHeight="1">
      <c r="B1" s="13" t="s">
        <v>441</v>
      </c>
      <c r="C1" s="13"/>
      <c r="D1" s="13"/>
      <c r="E1" s="13"/>
      <c r="F1" s="13"/>
      <c r="G1" s="13"/>
      <c r="H1" s="13"/>
      <c r="I1" s="13"/>
      <c r="J1" s="13"/>
      <c r="K1" s="13"/>
      <c r="L1" s="13"/>
      <c r="M1" s="13"/>
      <c r="N1" s="13"/>
    </row>
    <row r="2" spans="2:14" ht="36" customHeight="1">
      <c r="B2" s="14" t="s">
        <v>442</v>
      </c>
    </row>
    <row r="3" spans="2:14" ht="10" customHeight="1"/>
    <row r="4" spans="2:14" ht="24" customHeight="1">
      <c r="B4" s="4" t="s">
        <v>443</v>
      </c>
      <c r="C4" s="4"/>
      <c r="D4" s="4"/>
      <c r="E4" s="4"/>
      <c r="F4" s="4"/>
      <c r="G4" s="4"/>
      <c r="I4" s="29" t="s">
        <v>444</v>
      </c>
      <c r="J4" s="29"/>
      <c r="K4" s="29"/>
      <c r="L4" s="29"/>
      <c r="M4" s="29"/>
      <c r="N4" s="29"/>
    </row>
    <row r="5" spans="2:14" ht="22" customHeight="1">
      <c r="B5" s="30" t="s">
        <v>445</v>
      </c>
      <c r="C5" s="30"/>
      <c r="D5" s="30"/>
      <c r="E5" s="30"/>
      <c r="F5" s="30"/>
      <c r="G5" s="30"/>
      <c r="I5" s="30" t="s">
        <v>446</v>
      </c>
      <c r="J5" s="30"/>
      <c r="K5" s="30"/>
      <c r="L5" s="30"/>
      <c r="M5" s="30"/>
      <c r="N5" s="30"/>
    </row>
    <row r="6" spans="2:14" ht="22" customHeight="1">
      <c r="B6" s="30"/>
      <c r="C6" s="30"/>
      <c r="D6" s="30"/>
      <c r="E6" s="30"/>
      <c r="F6" s="30"/>
      <c r="G6" s="30"/>
      <c r="I6" s="30"/>
      <c r="J6" s="30"/>
      <c r="K6" s="30"/>
      <c r="L6" s="30"/>
      <c r="M6" s="30"/>
      <c r="N6" s="30"/>
    </row>
    <row r="7" spans="2:14" ht="22" customHeight="1">
      <c r="B7" s="30"/>
      <c r="C7" s="30"/>
      <c r="D7" s="30"/>
      <c r="E7" s="30"/>
      <c r="F7" s="30"/>
      <c r="G7" s="30"/>
      <c r="I7" s="30"/>
      <c r="J7" s="30"/>
      <c r="K7" s="30"/>
      <c r="L7" s="30"/>
      <c r="M7" s="30"/>
      <c r="N7" s="30"/>
    </row>
    <row r="8" spans="2:14" ht="22" customHeight="1">
      <c r="B8" s="30"/>
      <c r="C8" s="30"/>
      <c r="D8" s="30"/>
      <c r="E8" s="30"/>
      <c r="F8" s="30"/>
      <c r="G8" s="30"/>
      <c r="I8" s="30"/>
      <c r="J8" s="30"/>
      <c r="K8" s="30"/>
      <c r="L8" s="30"/>
      <c r="M8" s="30"/>
      <c r="N8" s="30"/>
    </row>
    <row r="9" spans="2:14" ht="22" customHeight="1">
      <c r="B9" s="30"/>
      <c r="C9" s="30"/>
      <c r="D9" s="30"/>
      <c r="E9" s="30"/>
      <c r="F9" s="30"/>
      <c r="G9" s="30"/>
      <c r="I9" s="30"/>
      <c r="J9" s="30"/>
      <c r="K9" s="30"/>
      <c r="L9" s="30"/>
      <c r="M9" s="30"/>
      <c r="N9" s="30"/>
    </row>
    <row r="10" spans="2:14" ht="22" customHeight="1">
      <c r="B10" s="30"/>
      <c r="C10" s="30"/>
      <c r="D10" s="30"/>
      <c r="E10" s="30"/>
      <c r="F10" s="30"/>
      <c r="G10" s="30"/>
      <c r="I10" s="30"/>
      <c r="J10" s="30"/>
      <c r="K10" s="30"/>
      <c r="L10" s="30"/>
      <c r="M10" s="30"/>
      <c r="N10" s="30"/>
    </row>
    <row r="11" spans="2:14" ht="22" customHeight="1">
      <c r="B11" s="30"/>
      <c r="C11" s="30"/>
      <c r="D11" s="30"/>
      <c r="E11" s="30"/>
      <c r="F11" s="30"/>
      <c r="G11" s="30"/>
      <c r="I11" s="30"/>
      <c r="J11" s="30"/>
      <c r="K11" s="30"/>
      <c r="L11" s="30"/>
      <c r="M11" s="30"/>
      <c r="N11" s="30"/>
    </row>
    <row r="12" spans="2:14" ht="22" customHeight="1">
      <c r="B12" s="30"/>
      <c r="C12" s="30"/>
      <c r="D12" s="30"/>
      <c r="E12" s="30"/>
      <c r="F12" s="30"/>
      <c r="G12" s="30"/>
      <c r="I12" s="30"/>
      <c r="J12" s="30"/>
      <c r="K12" s="30"/>
      <c r="L12" s="30"/>
      <c r="M12" s="30"/>
      <c r="N12" s="30"/>
    </row>
    <row r="13" spans="2:14" ht="22" customHeight="1">
      <c r="B13" s="30"/>
      <c r="C13" s="30"/>
      <c r="D13" s="30"/>
      <c r="E13" s="30"/>
      <c r="F13" s="30"/>
      <c r="G13" s="30"/>
      <c r="I13" s="30"/>
      <c r="J13" s="30"/>
      <c r="K13" s="30"/>
      <c r="L13" s="30"/>
      <c r="M13" s="30"/>
      <c r="N13" s="30"/>
    </row>
    <row r="14" spans="2:14" ht="22" customHeight="1">
      <c r="B14" s="30"/>
      <c r="C14" s="30"/>
      <c r="D14" s="30"/>
      <c r="E14" s="30"/>
      <c r="F14" s="30"/>
      <c r="G14" s="30"/>
      <c r="I14" s="30"/>
      <c r="J14" s="30"/>
      <c r="K14" s="30"/>
      <c r="L14" s="30"/>
      <c r="M14" s="30"/>
      <c r="N14" s="30"/>
    </row>
    <row r="15" spans="2:14" ht="22" customHeight="1">
      <c r="B15" s="30"/>
      <c r="C15" s="30"/>
      <c r="D15" s="30"/>
      <c r="E15" s="30"/>
      <c r="F15" s="30"/>
      <c r="G15" s="30"/>
      <c r="I15" s="30"/>
      <c r="J15" s="30"/>
      <c r="K15" s="30"/>
      <c r="L15" s="30"/>
      <c r="M15" s="30"/>
      <c r="N15" s="30"/>
    </row>
    <row r="16" spans="2:14" ht="22" customHeight="1">
      <c r="B16" s="30"/>
      <c r="C16" s="30"/>
      <c r="D16" s="30"/>
      <c r="E16" s="30"/>
      <c r="F16" s="30"/>
      <c r="G16" s="30"/>
      <c r="I16" s="30"/>
      <c r="J16" s="30"/>
      <c r="K16" s="30"/>
      <c r="L16" s="30"/>
      <c r="M16" s="30"/>
      <c r="N16" s="30"/>
    </row>
    <row r="17" spans="2:14" ht="22" customHeight="1">
      <c r="B17" s="30"/>
      <c r="C17" s="30"/>
      <c r="D17" s="30"/>
      <c r="E17" s="30"/>
      <c r="F17" s="30"/>
      <c r="G17" s="30"/>
      <c r="I17" s="30"/>
      <c r="J17" s="30"/>
      <c r="K17" s="30"/>
      <c r="L17" s="30"/>
      <c r="M17" s="30"/>
      <c r="N17" s="30"/>
    </row>
    <row r="18" spans="2:14" ht="22" customHeight="1">
      <c r="B18" s="30"/>
      <c r="C18" s="30"/>
      <c r="D18" s="30"/>
      <c r="E18" s="30"/>
      <c r="F18" s="30"/>
      <c r="G18" s="30"/>
      <c r="I18" s="30"/>
      <c r="J18" s="30"/>
      <c r="K18" s="30"/>
      <c r="L18" s="30"/>
      <c r="M18" s="30"/>
      <c r="N18" s="30"/>
    </row>
    <row r="19" spans="2:14" ht="22" customHeight="1">
      <c r="B19" s="30"/>
      <c r="C19" s="30"/>
      <c r="D19" s="30"/>
      <c r="E19" s="30"/>
      <c r="F19" s="30"/>
      <c r="G19" s="30"/>
      <c r="I19" s="30"/>
      <c r="J19" s="30"/>
      <c r="K19" s="30"/>
      <c r="L19" s="30"/>
      <c r="M19" s="30"/>
      <c r="N19" s="30"/>
    </row>
    <row r="20" spans="2:14" ht="22" customHeight="1">
      <c r="B20" s="30"/>
      <c r="C20" s="30"/>
      <c r="D20" s="30"/>
      <c r="E20" s="30"/>
      <c r="F20" s="30"/>
      <c r="G20" s="30"/>
      <c r="I20" s="30"/>
      <c r="J20" s="30"/>
      <c r="K20" s="30"/>
      <c r="L20" s="30"/>
      <c r="M20" s="30"/>
      <c r="N20" s="30"/>
    </row>
    <row r="21" spans="2:14" ht="22" customHeight="1">
      <c r="B21" s="30"/>
      <c r="C21" s="30"/>
      <c r="D21" s="30"/>
      <c r="E21" s="30"/>
      <c r="F21" s="30"/>
      <c r="G21" s="30"/>
      <c r="I21" s="30"/>
      <c r="J21" s="30"/>
      <c r="K21" s="30"/>
      <c r="L21" s="30"/>
      <c r="M21" s="30"/>
      <c r="N21" s="30"/>
    </row>
    <row r="22" spans="2:14" ht="22" customHeight="1">
      <c r="B22" s="30"/>
      <c r="C22" s="30"/>
      <c r="D22" s="30"/>
      <c r="E22" s="30"/>
      <c r="F22" s="30"/>
      <c r="G22" s="30"/>
      <c r="I22" s="30"/>
      <c r="J22" s="30"/>
      <c r="K22" s="30"/>
      <c r="L22" s="30"/>
      <c r="M22" s="30"/>
      <c r="N22" s="30"/>
    </row>
    <row r="24" spans="2:14" ht="22" customHeight="1">
      <c r="B24" s="31" t="s">
        <v>447</v>
      </c>
      <c r="C24" s="32"/>
      <c r="D24" s="32"/>
      <c r="E24" s="32"/>
      <c r="F24" s="32"/>
      <c r="G24" s="32"/>
      <c r="H24" s="32"/>
      <c r="I24" s="32"/>
      <c r="J24" s="32"/>
      <c r="K24" s="32"/>
      <c r="L24" s="32"/>
      <c r="M24" s="32"/>
      <c r="N24" s="32"/>
    </row>
    <row r="25" spans="2:14" ht="22" customHeight="1">
      <c r="B25" s="31" t="s">
        <v>448</v>
      </c>
      <c r="C25" s="32"/>
      <c r="D25" s="32"/>
      <c r="E25" s="32"/>
      <c r="F25" s="32"/>
      <c r="G25" s="32"/>
      <c r="H25" s="32"/>
      <c r="I25" s="32"/>
      <c r="J25" s="32"/>
      <c r="K25" s="32"/>
      <c r="L25" s="32"/>
      <c r="M25" s="32"/>
      <c r="N25" s="32"/>
    </row>
    <row r="26" spans="2:14" ht="22" customHeight="1">
      <c r="B26" s="31" t="s">
        <v>449</v>
      </c>
      <c r="C26" s="32"/>
      <c r="D26" s="32"/>
      <c r="E26" s="32"/>
      <c r="F26" s="32"/>
      <c r="G26" s="32"/>
      <c r="H26" s="32"/>
      <c r="I26" s="32"/>
      <c r="J26" s="32"/>
      <c r="K26" s="32"/>
      <c r="L26" s="32"/>
      <c r="M26" s="32"/>
      <c r="N26" s="32"/>
    </row>
    <row r="27" spans="2:14" ht="22" customHeight="1">
      <c r="B27" s="33" t="s">
        <v>450</v>
      </c>
      <c r="C27" s="32"/>
      <c r="D27" s="32"/>
      <c r="E27" s="32"/>
      <c r="F27" s="32"/>
      <c r="G27" s="32"/>
      <c r="H27" s="32"/>
      <c r="I27" s="32"/>
      <c r="J27" s="32"/>
      <c r="K27" s="32"/>
      <c r="L27" s="32"/>
      <c r="M27" s="32"/>
      <c r="N27" s="32"/>
    </row>
    <row r="28" spans="2:14" ht="22" customHeight="1">
      <c r="C28" s="32"/>
      <c r="D28" s="32"/>
      <c r="E28" s="32"/>
      <c r="F28" s="32"/>
      <c r="G28" s="32"/>
      <c r="H28" s="32"/>
      <c r="I28" s="32"/>
      <c r="J28" s="32"/>
      <c r="K28" s="32"/>
      <c r="L28" s="32"/>
      <c r="M28" s="32"/>
      <c r="N28" s="32"/>
    </row>
    <row r="29" spans="2:14" ht="22" customHeight="1">
      <c r="C29" s="32"/>
      <c r="D29" s="32"/>
      <c r="E29" s="32"/>
      <c r="F29" s="32"/>
      <c r="G29" s="32"/>
      <c r="H29" s="32"/>
      <c r="I29" s="32"/>
      <c r="J29" s="32"/>
      <c r="K29" s="32"/>
      <c r="L29" s="32"/>
      <c r="M29" s="32"/>
      <c r="N29" s="32"/>
    </row>
    <row r="30" spans="2:14" ht="22" customHeight="1">
      <c r="C30" s="32"/>
      <c r="D30" s="32"/>
      <c r="E30" s="32"/>
      <c r="F30" s="32"/>
      <c r="G30" s="32"/>
      <c r="H30" s="32"/>
      <c r="I30" s="32"/>
      <c r="J30" s="32"/>
      <c r="K30" s="32"/>
      <c r="L30" s="32"/>
      <c r="M30" s="32"/>
      <c r="N30" s="32"/>
    </row>
    <row r="32" spans="2:14" ht="22" customHeight="1">
      <c r="B32" s="34" t="s">
        <v>451</v>
      </c>
      <c r="C32" s="34"/>
      <c r="D32" s="34"/>
      <c r="E32" s="34"/>
      <c r="F32" s="34"/>
      <c r="G32" s="34"/>
      <c r="H32" s="34"/>
      <c r="I32" s="34"/>
      <c r="J32" s="34"/>
      <c r="K32" s="34"/>
      <c r="L32" s="34"/>
      <c r="M32" s="34"/>
      <c r="N32" s="34"/>
    </row>
    <row r="33" spans="2:14" ht="22" customHeight="1">
      <c r="B33" s="34"/>
      <c r="C33" s="34"/>
      <c r="D33" s="34"/>
      <c r="E33" s="34"/>
      <c r="F33" s="34"/>
      <c r="G33" s="34"/>
      <c r="H33" s="34"/>
      <c r="I33" s="34"/>
      <c r="J33" s="34"/>
      <c r="K33" s="34"/>
      <c r="L33" s="34"/>
      <c r="M33" s="34"/>
      <c r="N33" s="34"/>
    </row>
  </sheetData>
  <sheetProtection sheet="1" scenarios="1"/>
  <mergeCells count="10">
    <mergeCell ref="B1:N1"/>
    <mergeCell ref="B4:G4"/>
    <mergeCell ref="I4:N4"/>
    <mergeCell ref="B5:G22"/>
    <mergeCell ref="I5:N22"/>
    <mergeCell ref="C24:N24"/>
    <mergeCell ref="C25:N25"/>
    <mergeCell ref="C26:N26"/>
    <mergeCell ref="C27:N30"/>
    <mergeCell ref="B32:N33"/>
  </mergeCells>
  <hyperlinks>
    <hyperlink ref="B2" location="'PROYECTO'!C10" display="← Volver a PROYECTO"/>
  </hyperlinks>
  <printOptions horizontalCentered="1"/>
  <pageMargins left="0.4" right="0.4" top="0.5" bottom="0.5" header="0.3" footer="0.3"/>
  <pageSetup paperSize="9" orientation="landscape"/>
</worksheet>
</file>

<file path=xl/worksheets/sheet4.xml><?xml version="1.0" encoding="utf-8"?>
<worksheet xmlns="http://schemas.openxmlformats.org/spreadsheetml/2006/main" xmlns:r="http://schemas.openxmlformats.org/officeDocument/2006/relationships">
  <sheetPr>
    <tabColor rgb="FF6B5B4B"/>
    <pageSetUpPr fitToPage="1"/>
  </sheetPr>
  <dimension ref="B1:M4"/>
  <sheetViews>
    <sheetView showGridLines="0" workbookViewId="0">
      <pane ySplit="4" topLeftCell="A5" activePane="bottomLeft" state="frozen"/>
      <selection pane="bottomLeft"/>
    </sheetView>
  </sheetViews>
  <sheetFormatPr defaultRowHeight="15"/>
  <cols>
    <col min="1" max="1" width="2.28515625" customWidth="1"/>
    <col min="2" max="2" width="5.7109375" style="35" customWidth="1"/>
    <col min="3" max="3" width="16.7109375" style="35" customWidth="1"/>
    <col min="4" max="4" width="26.7109375" style="35" customWidth="1"/>
    <col min="5" max="5" width="20.7109375" style="35" customWidth="1"/>
    <col min="6" max="6" width="26.7109375" style="35" customWidth="1"/>
    <col min="7" max="7" width="16.7109375" style="35" customWidth="1"/>
    <col min="8" max="8" width="22.7109375" style="35" customWidth="1"/>
    <col min="9" max="9" width="30.7109375" style="35" customWidth="1"/>
    <col min="10" max="10" width="9.7109375" style="35" customWidth="1"/>
    <col min="11" max="11" width="11.7109375" style="35" customWidth="1"/>
    <col min="12" max="12" width="34.7109375" style="35" customWidth="1"/>
    <col min="13" max="13" width="70.7109375" style="35" customWidth="1"/>
  </cols>
  <sheetData>
    <row r="1" spans="2:13" ht="40" customHeight="1">
      <c r="B1" s="13" t="s">
        <v>452</v>
      </c>
      <c r="C1" s="13"/>
      <c r="D1" s="13"/>
      <c r="E1" s="13"/>
      <c r="F1" s="13"/>
      <c r="G1" s="13"/>
      <c r="H1" s="13"/>
      <c r="I1" s="13"/>
      <c r="J1" s="13"/>
      <c r="K1" s="13"/>
      <c r="L1" s="13"/>
      <c r="M1" s="13"/>
    </row>
    <row r="2" spans="2:13">
      <c r="B2" s="36" t="s">
        <v>453</v>
      </c>
      <c r="C2" s="36"/>
      <c r="D2" s="36"/>
      <c r="E2" s="36"/>
      <c r="F2" s="36"/>
      <c r="G2" s="36"/>
      <c r="H2" s="36"/>
      <c r="I2" s="36"/>
      <c r="J2" s="36"/>
      <c r="K2" s="36"/>
      <c r="L2" s="36"/>
      <c r="M2" s="36"/>
    </row>
    <row r="4" spans="2:13" ht="28" customHeight="1">
      <c r="B4" s="37" t="s">
        <v>454</v>
      </c>
      <c r="C4" s="37" t="s">
        <v>447</v>
      </c>
      <c r="D4" s="37" t="s">
        <v>455</v>
      </c>
      <c r="E4" s="37" t="s">
        <v>0</v>
      </c>
      <c r="F4" s="37" t="s">
        <v>38</v>
      </c>
      <c r="G4" s="37" t="s">
        <v>57</v>
      </c>
      <c r="H4" s="37" t="s">
        <v>264</v>
      </c>
      <c r="I4" s="37" t="s">
        <v>325</v>
      </c>
      <c r="J4" s="37" t="s">
        <v>456</v>
      </c>
      <c r="K4" s="37" t="s">
        <v>457</v>
      </c>
      <c r="L4" s="37" t="s">
        <v>458</v>
      </c>
      <c r="M4" s="37" t="s">
        <v>459</v>
      </c>
    </row>
  </sheetData>
  <mergeCells count="2">
    <mergeCell ref="B1:M1"/>
    <mergeCell ref="B2:M2"/>
  </mergeCells>
  <printOptions horizontalCentered="1"/>
  <pageMargins left="0.4" right="0.4" top="0.5" bottom="0.5" header="0.3" footer="0.3"/>
  <pageSetup paperSize="9" fitToHeight="0" orientation="landscape"/>
</worksheet>
</file>

<file path=xl/worksheets/sheet5.xml><?xml version="1.0" encoding="utf-8"?>
<worksheet xmlns="http://schemas.openxmlformats.org/spreadsheetml/2006/main" xmlns:r="http://schemas.openxmlformats.org/officeDocument/2006/relationships">
  <sheetPr>
    <tabColor rgb="FF7A7A7A"/>
    <pageSetUpPr fitToPage="1"/>
  </sheetPr>
  <dimension ref="B1:H26"/>
  <sheetViews>
    <sheetView showGridLines="0" workbookViewId="0"/>
  </sheetViews>
  <sheetFormatPr defaultRowHeight="22" customHeight="1"/>
  <cols>
    <col min="1" max="1" width="2.28515625" customWidth="1"/>
    <col min="2" max="2" width="26.7109375" customWidth="1"/>
    <col min="3" max="3" width="40.7109375" customWidth="1"/>
    <col min="4" max="4" width="3.28515625" customWidth="1"/>
    <col min="5" max="8" width="13.28515625" customWidth="1"/>
  </cols>
  <sheetData>
    <row r="1" spans="2:8" ht="40" customHeight="1">
      <c r="B1" s="13" t="s">
        <v>460</v>
      </c>
      <c r="C1" s="13"/>
      <c r="E1" s="38"/>
      <c r="F1" s="38"/>
      <c r="G1" s="38"/>
      <c r="H1" s="38"/>
    </row>
    <row r="2" spans="2:8" ht="22" customHeight="1">
      <c r="B2" s="14" t="s">
        <v>442</v>
      </c>
    </row>
    <row r="3" spans="2:8" ht="22" customHeight="1">
      <c r="B3" s="34" t="s">
        <v>461</v>
      </c>
      <c r="C3" s="34"/>
    </row>
    <row r="5" spans="2:8" ht="24" customHeight="1">
      <c r="B5" s="4" t="s">
        <v>462</v>
      </c>
      <c r="C5" s="4"/>
    </row>
    <row r="6" spans="2:8" ht="22" customHeight="1">
      <c r="B6" s="31" t="s">
        <v>463</v>
      </c>
      <c r="C6" s="39" t="s">
        <v>326</v>
      </c>
    </row>
    <row r="7" spans="2:8" ht="22" customHeight="1">
      <c r="B7" s="31" t="s">
        <v>328</v>
      </c>
      <c r="C7" s="39" t="s">
        <v>329</v>
      </c>
    </row>
    <row r="8" spans="2:8" ht="22" customHeight="1">
      <c r="B8" s="31" t="s">
        <v>331</v>
      </c>
      <c r="C8" s="39" t="s">
        <v>332</v>
      </c>
    </row>
    <row r="9" spans="2:8" ht="22" customHeight="1">
      <c r="B9" s="31" t="s">
        <v>464</v>
      </c>
      <c r="C9" s="39"/>
    </row>
    <row r="11" spans="2:8" ht="24" customHeight="1">
      <c r="B11" s="4" t="s">
        <v>465</v>
      </c>
      <c r="C11" s="4"/>
    </row>
    <row r="12" spans="2:8" ht="22" customHeight="1">
      <c r="B12" s="31" t="s">
        <v>466</v>
      </c>
      <c r="C12" s="40" t="s">
        <v>467</v>
      </c>
    </row>
    <row r="13" spans="2:8" ht="22" customHeight="1">
      <c r="B13" s="31" t="s">
        <v>468</v>
      </c>
      <c r="C13" s="40" t="s">
        <v>467</v>
      </c>
    </row>
    <row r="14" spans="2:8" ht="30" customHeight="1">
      <c r="B14" s="34" t="s">
        <v>469</v>
      </c>
      <c r="C14" s="34"/>
    </row>
    <row r="16" spans="2:8" ht="24" customHeight="1">
      <c r="B16" s="4" t="s">
        <v>470</v>
      </c>
      <c r="C16" s="4"/>
    </row>
    <row r="17" spans="2:3" ht="22" customHeight="1">
      <c r="B17" s="31" t="s">
        <v>471</v>
      </c>
      <c r="C17" s="41" t="s">
        <v>472</v>
      </c>
    </row>
    <row r="18" spans="2:3" ht="22" customHeight="1">
      <c r="B18" s="31" t="s">
        <v>473</v>
      </c>
      <c r="C18" s="41" t="s">
        <v>474</v>
      </c>
    </row>
    <row r="19" spans="2:3" ht="30" customHeight="1">
      <c r="B19" s="34" t="s">
        <v>475</v>
      </c>
      <c r="C19" s="34"/>
    </row>
    <row r="21" spans="2:3" ht="24" customHeight="1">
      <c r="B21" s="4" t="s">
        <v>476</v>
      </c>
      <c r="C21" s="4"/>
    </row>
    <row r="22" spans="2:3" ht="22" customHeight="1">
      <c r="B22" s="42" t="s">
        <v>329</v>
      </c>
      <c r="C22" s="43" t="s">
        <v>477</v>
      </c>
    </row>
    <row r="23" spans="2:3" ht="22" customHeight="1">
      <c r="B23" s="42" t="s">
        <v>330</v>
      </c>
      <c r="C23" s="43" t="s">
        <v>478</v>
      </c>
    </row>
    <row r="24" spans="2:3" ht="22" customHeight="1">
      <c r="B24" s="42" t="s">
        <v>332</v>
      </c>
      <c r="C24" s="43" t="s">
        <v>479</v>
      </c>
    </row>
    <row r="25" spans="2:3" ht="22" customHeight="1">
      <c r="B25" s="42" t="s">
        <v>333</v>
      </c>
      <c r="C25" s="43" t="s">
        <v>480</v>
      </c>
    </row>
    <row r="26" spans="2:3" ht="30" customHeight="1">
      <c r="B26" s="34" t="s">
        <v>481</v>
      </c>
      <c r="C26" s="34"/>
    </row>
  </sheetData>
  <sheetProtection sheet="1" scenarios="1"/>
  <mergeCells count="10">
    <mergeCell ref="B1:C1"/>
    <mergeCell ref="E1:H1"/>
    <mergeCell ref="B3:C3"/>
    <mergeCell ref="B5:C5"/>
    <mergeCell ref="B11:C11"/>
    <mergeCell ref="B14:C14"/>
    <mergeCell ref="B16:C16"/>
    <mergeCell ref="B19:C19"/>
    <mergeCell ref="B21:C21"/>
    <mergeCell ref="B26:C26"/>
  </mergeCells>
  <dataValidations count="4">
    <dataValidation type="list" allowBlank="1" showInputMessage="1" showErrorMessage="1" errorTitle="Opción no válida" error="Elige una opción de la lista desplegable." promptTitle="Motor" prompt="Gemini conserva muy bien la estructura. OpenAI es la alternativa." sqref="C6">
      <formula1>L_Motor</formula1>
    </dataValidation>
    <dataValidation type="list" errorStyle="information" allowBlank="1" showInputMessage="1" showErrorMessage="1" errorTitle="Valor personalizado" error="Valor fuera de la lista. Se usará tal cual." promptTitle="Modelo Gemini" prompt="Puedes escribir otro nombre de modelo si Google publica uno nuevo." sqref="C7">
      <formula1>L_ModeloGemini</formula1>
    </dataValidation>
    <dataValidation type="list" errorStyle="information" allowBlank="1" showInputMessage="1" showErrorMessage="1" errorTitle="Valor personalizado" error="Valor fuera de la lista. Se usará tal cual." promptTitle="Modelo OpenAI" prompt="Puedes escribir otro nombre de modelo si OpenAI publica uno nuevo." sqref="C8">
      <formula1>L_ModeloOpenAI</formula1>
    </dataValidation>
    <dataValidation allowBlank="1" showInputMessage="1" showErrorMessage="1" promptTitle="Carpeta de imágenes" prompt="Vacío = Imágenes\Gaudi Reformas. O escribe una ruta completa, p. ej. C:\Obras\Renders" sqref="C9"/>
  </dataValidations>
  <hyperlinks>
    <hyperlink ref="B2" location="'PROYECTO'!C10" display="← Volver a PROYECTO"/>
    <hyperlink ref="C17" r:id="rId1"/>
    <hyperlink ref="C18" r:id="rId2"/>
  </hyperlinks>
  <printOptions horizontalCentered="1"/>
  <pageMargins left="0.4" right="0.4" top="0.5" bottom="0.5" header="0.3" footer="0.3"/>
  <pageSetup paperSize="9" orientation="landscape"/>
</worksheet>
</file>

<file path=xl/worksheets/sheet6.xml><?xml version="1.0" encoding="utf-8"?>
<worksheet xmlns="http://schemas.openxmlformats.org/spreadsheetml/2006/main" xmlns:r="http://schemas.openxmlformats.org/officeDocument/2006/relationships">
  <dimension ref="A1:BI19"/>
  <sheetViews>
    <sheetView workbookViewId="0"/>
  </sheetViews>
  <sheetFormatPr defaultRowHeight="15"/>
  <cols>
    <col min="1" max="1" width="30.7109375" customWidth="1"/>
    <col min="2" max="2" width="40.7109375" customWidth="1"/>
    <col min="4" max="4" width="30.7109375" customWidth="1"/>
    <col min="5" max="5" width="40.7109375" customWidth="1"/>
    <col min="7" max="7" width="30.7109375" customWidth="1"/>
    <col min="8" max="8" width="40.7109375" customWidth="1"/>
    <col min="10" max="10" width="30.7109375" customWidth="1"/>
    <col min="11" max="11" width="40.7109375" customWidth="1"/>
    <col min="13" max="13" width="30.7109375" customWidth="1"/>
    <col min="14" max="14" width="40.7109375" customWidth="1"/>
    <col min="16" max="16" width="30.7109375" customWidth="1"/>
    <col min="17" max="17" width="40.7109375" customWidth="1"/>
    <col min="19" max="19" width="30.7109375" customWidth="1"/>
    <col min="20" max="20" width="40.7109375" customWidth="1"/>
    <col min="22" max="22" width="30.7109375" customWidth="1"/>
    <col min="23" max="23" width="40.7109375" customWidth="1"/>
    <col min="25" max="25" width="30.7109375" customWidth="1"/>
    <col min="26" max="26" width="40.7109375" customWidth="1"/>
    <col min="28" max="28" width="30.7109375" customWidth="1"/>
    <col min="29" max="29" width="40.7109375" customWidth="1"/>
    <col min="31" max="31" width="30.7109375" customWidth="1"/>
    <col min="32" max="32" width="40.7109375" customWidth="1"/>
    <col min="34" max="34" width="30.7109375" customWidth="1"/>
    <col min="35" max="35" width="40.7109375" customWidth="1"/>
    <col min="37" max="37" width="30.7109375" customWidth="1"/>
    <col min="38" max="38" width="40.7109375" customWidth="1"/>
    <col min="40" max="40" width="30.7109375" customWidth="1"/>
    <col min="41" max="41" width="40.7109375" customWidth="1"/>
    <col min="43" max="43" width="30.7109375" customWidth="1"/>
    <col min="44" max="45" width="40.7109375" customWidth="1"/>
    <col min="47" max="47" width="30.7109375" customWidth="1"/>
    <col min="48" max="49" width="40.7109375" customWidth="1"/>
    <col min="51" max="51" width="30.7109375" customWidth="1"/>
    <col min="52" max="52" width="40.7109375" customWidth="1"/>
    <col min="54" max="54" width="30.7109375" customWidth="1"/>
    <col min="55" max="55" width="40.7109375" customWidth="1"/>
    <col min="57" max="57" width="30.7109375" customWidth="1"/>
    <col min="59" max="59" width="30.7109375" customWidth="1"/>
    <col min="61" max="61" width="30.7109375" customWidth="1"/>
  </cols>
  <sheetData>
    <row r="1" spans="1:61">
      <c r="A1" s="44" t="s">
        <v>0</v>
      </c>
      <c r="B1" s="44" t="s">
        <v>1</v>
      </c>
      <c r="D1" s="44" t="s">
        <v>38</v>
      </c>
      <c r="E1" s="44" t="s">
        <v>1</v>
      </c>
      <c r="G1" s="44" t="s">
        <v>57</v>
      </c>
      <c r="H1" s="44" t="s">
        <v>1</v>
      </c>
      <c r="J1" s="44" t="s">
        <v>86</v>
      </c>
      <c r="K1" s="44" t="s">
        <v>1</v>
      </c>
      <c r="M1" s="44" t="s">
        <v>93</v>
      </c>
      <c r="N1" s="44" t="s">
        <v>1</v>
      </c>
      <c r="P1" s="44" t="s">
        <v>120</v>
      </c>
      <c r="Q1" s="44" t="s">
        <v>1</v>
      </c>
      <c r="S1" s="44" t="s">
        <v>141</v>
      </c>
      <c r="T1" s="44" t="s">
        <v>1</v>
      </c>
      <c r="V1" s="44" t="s">
        <v>169</v>
      </c>
      <c r="W1" s="44" t="s">
        <v>1</v>
      </c>
      <c r="Y1" s="44" t="s">
        <v>183</v>
      </c>
      <c r="Z1" s="44" t="s">
        <v>1</v>
      </c>
      <c r="AB1" s="44" t="s">
        <v>8</v>
      </c>
      <c r="AC1" s="44" t="s">
        <v>1</v>
      </c>
      <c r="AE1" s="44" t="s">
        <v>215</v>
      </c>
      <c r="AF1" s="44" t="s">
        <v>1</v>
      </c>
      <c r="AH1" s="44" t="s">
        <v>12</v>
      </c>
      <c r="AI1" s="44" t="s">
        <v>1</v>
      </c>
      <c r="AK1" s="44" t="s">
        <v>240</v>
      </c>
      <c r="AL1" s="44" t="s">
        <v>1</v>
      </c>
      <c r="AN1" s="44" t="s">
        <v>254</v>
      </c>
      <c r="AO1" s="44" t="s">
        <v>1</v>
      </c>
      <c r="AQ1" s="44" t="s">
        <v>264</v>
      </c>
      <c r="AR1" s="44" t="s">
        <v>265</v>
      </c>
      <c r="AS1" s="44" t="s">
        <v>1</v>
      </c>
      <c r="AU1" s="44" t="s">
        <v>290</v>
      </c>
      <c r="AV1" s="44" t="s">
        <v>291</v>
      </c>
      <c r="AW1" s="44" t="s">
        <v>292</v>
      </c>
      <c r="AY1" s="44" t="s">
        <v>303</v>
      </c>
      <c r="AZ1" s="44" t="s">
        <v>1</v>
      </c>
      <c r="BB1" s="44" t="s">
        <v>314</v>
      </c>
      <c r="BC1" s="44" t="s">
        <v>1</v>
      </c>
      <c r="BE1" s="44" t="s">
        <v>325</v>
      </c>
      <c r="BG1" s="44" t="s">
        <v>328</v>
      </c>
      <c r="BI1" s="44" t="s">
        <v>331</v>
      </c>
    </row>
    <row r="2" spans="1:61">
      <c r="A2" s="45" t="s">
        <v>2</v>
      </c>
      <c r="B2" s="45" t="s">
        <v>3</v>
      </c>
      <c r="D2" s="45" t="s">
        <v>39</v>
      </c>
      <c r="E2" s="45" t="s">
        <v>40</v>
      </c>
      <c r="G2" s="45" t="s">
        <v>58</v>
      </c>
      <c r="H2" s="45" t="s">
        <v>59</v>
      </c>
      <c r="J2" s="45" t="s">
        <v>87</v>
      </c>
      <c r="K2" s="45" t="s">
        <v>88</v>
      </c>
      <c r="M2" s="45" t="s">
        <v>94</v>
      </c>
      <c r="N2" s="45" t="s">
        <v>95</v>
      </c>
      <c r="P2" s="45" t="s">
        <v>94</v>
      </c>
      <c r="Q2" s="45" t="s">
        <v>121</v>
      </c>
      <c r="S2" s="45" t="s">
        <v>94</v>
      </c>
      <c r="T2" s="45" t="s">
        <v>142</v>
      </c>
      <c r="V2" s="45" t="s">
        <v>94</v>
      </c>
      <c r="W2" s="45" t="s">
        <v>170</v>
      </c>
      <c r="Y2" s="45" t="s">
        <v>94</v>
      </c>
      <c r="Z2" s="45" t="s">
        <v>184</v>
      </c>
      <c r="AB2" s="45" t="s">
        <v>199</v>
      </c>
      <c r="AC2" s="45" t="s">
        <v>200</v>
      </c>
      <c r="AE2" s="45" t="s">
        <v>199</v>
      </c>
      <c r="AF2" s="45" t="s">
        <v>200</v>
      </c>
      <c r="AH2" s="45" t="s">
        <v>199</v>
      </c>
      <c r="AI2" s="45" t="s">
        <v>200</v>
      </c>
      <c r="AK2" s="45" t="s">
        <v>94</v>
      </c>
      <c r="AL2" s="45" t="s">
        <v>241</v>
      </c>
      <c r="AN2" s="45" t="s">
        <v>94</v>
      </c>
      <c r="AO2" s="45" t="s">
        <v>255</v>
      </c>
      <c r="AQ2" s="45" t="s">
        <v>266</v>
      </c>
      <c r="AR2" s="45" t="s">
        <v>267</v>
      </c>
      <c r="AS2" s="45" t="s">
        <v>268</v>
      </c>
      <c r="AU2" s="45" t="s">
        <v>293</v>
      </c>
      <c r="AV2" s="45" t="s">
        <v>294</v>
      </c>
      <c r="AW2" s="45" t="s">
        <v>295</v>
      </c>
      <c r="AY2" s="45" t="s">
        <v>304</v>
      </c>
      <c r="AZ2" s="45" t="s">
        <v>305</v>
      </c>
      <c r="BB2" s="45" t="s">
        <v>315</v>
      </c>
      <c r="BC2" s="45" t="s">
        <v>316</v>
      </c>
      <c r="BE2" s="45" t="s">
        <v>326</v>
      </c>
      <c r="BG2" s="45" t="s">
        <v>329</v>
      </c>
      <c r="BI2" s="45" t="s">
        <v>332</v>
      </c>
    </row>
    <row r="3" spans="1:61">
      <c r="A3" s="45" t="s">
        <v>4</v>
      </c>
      <c r="B3" s="45" t="s">
        <v>5</v>
      </c>
      <c r="D3" s="45" t="s">
        <v>41</v>
      </c>
      <c r="E3" s="45" t="s">
        <v>42</v>
      </c>
      <c r="G3" s="45" t="s">
        <v>60</v>
      </c>
      <c r="H3" s="45" t="s">
        <v>61</v>
      </c>
      <c r="J3" s="45" t="s">
        <v>89</v>
      </c>
      <c r="K3" s="45" t="s">
        <v>90</v>
      </c>
      <c r="M3" s="45" t="s">
        <v>96</v>
      </c>
      <c r="N3" s="45" t="s">
        <v>97</v>
      </c>
      <c r="P3" s="45" t="s">
        <v>122</v>
      </c>
      <c r="Q3" s="45" t="s">
        <v>123</v>
      </c>
      <c r="S3" s="45" t="s">
        <v>143</v>
      </c>
      <c r="T3" s="45" t="s">
        <v>144</v>
      </c>
      <c r="V3" s="45" t="s">
        <v>171</v>
      </c>
      <c r="W3" s="45" t="s">
        <v>172</v>
      </c>
      <c r="Y3" s="45" t="s">
        <v>185</v>
      </c>
      <c r="Z3" s="45" t="s">
        <v>186</v>
      </c>
      <c r="AB3" s="45" t="s">
        <v>201</v>
      </c>
      <c r="AC3" s="45" t="s">
        <v>202</v>
      </c>
      <c r="AE3" s="45" t="s">
        <v>216</v>
      </c>
      <c r="AF3" s="45" t="s">
        <v>217</v>
      </c>
      <c r="AH3" s="45" t="s">
        <v>226</v>
      </c>
      <c r="AI3" s="45" t="s">
        <v>227</v>
      </c>
      <c r="AK3" s="45" t="s">
        <v>242</v>
      </c>
      <c r="AL3" s="45" t="s">
        <v>243</v>
      </c>
      <c r="AN3" s="45" t="s">
        <v>256</v>
      </c>
      <c r="AO3" s="45" t="s">
        <v>257</v>
      </c>
      <c r="AQ3" s="45" t="s">
        <v>269</v>
      </c>
      <c r="AR3" s="45" t="s">
        <v>270</v>
      </c>
      <c r="AS3" s="45" t="s">
        <v>271</v>
      </c>
      <c r="AU3" s="45" t="s">
        <v>296</v>
      </c>
      <c r="AV3" s="45" t="s">
        <v>294</v>
      </c>
      <c r="AW3" s="45" t="s">
        <v>297</v>
      </c>
      <c r="AY3" s="45" t="s">
        <v>306</v>
      </c>
      <c r="AZ3" s="45" t="s">
        <v>307</v>
      </c>
      <c r="BB3" s="45" t="s">
        <v>317</v>
      </c>
      <c r="BC3" s="45" t="s">
        <v>318</v>
      </c>
      <c r="BE3" s="45" t="s">
        <v>327</v>
      </c>
      <c r="BG3" s="45" t="s">
        <v>330</v>
      </c>
      <c r="BI3" s="45" t="s">
        <v>333</v>
      </c>
    </row>
    <row r="4" spans="1:61">
      <c r="A4" s="45" t="s">
        <v>6</v>
      </c>
      <c r="B4" s="45" t="s">
        <v>7</v>
      </c>
      <c r="D4" s="45" t="s">
        <v>43</v>
      </c>
      <c r="E4" s="45" t="s">
        <v>44</v>
      </c>
      <c r="G4" s="45" t="s">
        <v>62</v>
      </c>
      <c r="H4" s="45" t="s">
        <v>63</v>
      </c>
      <c r="J4" s="45" t="s">
        <v>91</v>
      </c>
      <c r="K4" s="45" t="s">
        <v>92</v>
      </c>
      <c r="M4" s="45" t="s">
        <v>98</v>
      </c>
      <c r="N4" s="45" t="s">
        <v>99</v>
      </c>
      <c r="P4" s="45" t="s">
        <v>124</v>
      </c>
      <c r="Q4" s="45" t="s">
        <v>125</v>
      </c>
      <c r="S4" s="45" t="s">
        <v>145</v>
      </c>
      <c r="T4" s="45" t="s">
        <v>146</v>
      </c>
      <c r="V4" s="45" t="s">
        <v>173</v>
      </c>
      <c r="W4" s="45" t="s">
        <v>174</v>
      </c>
      <c r="Y4" s="45" t="s">
        <v>187</v>
      </c>
      <c r="Z4" s="45" t="s">
        <v>188</v>
      </c>
      <c r="AB4" s="45" t="s">
        <v>203</v>
      </c>
      <c r="AC4" s="45" t="s">
        <v>204</v>
      </c>
      <c r="AE4" s="45" t="s">
        <v>104</v>
      </c>
      <c r="AF4" s="45" t="s">
        <v>218</v>
      </c>
      <c r="AH4" s="45" t="s">
        <v>228</v>
      </c>
      <c r="AI4" s="45" t="s">
        <v>229</v>
      </c>
      <c r="AK4" s="45" t="s">
        <v>244</v>
      </c>
      <c r="AL4" s="45" t="s">
        <v>245</v>
      </c>
      <c r="AN4" s="45" t="s">
        <v>258</v>
      </c>
      <c r="AO4" s="45" t="s">
        <v>259</v>
      </c>
      <c r="AQ4" s="45" t="s">
        <v>272</v>
      </c>
      <c r="AR4" s="45" t="s">
        <v>273</v>
      </c>
      <c r="AS4" s="45" t="s">
        <v>274</v>
      </c>
      <c r="AU4" s="45" t="s">
        <v>298</v>
      </c>
      <c r="AV4" s="45" t="s">
        <v>299</v>
      </c>
      <c r="AW4" s="45" t="s">
        <v>300</v>
      </c>
      <c r="AY4" s="45" t="s">
        <v>308</v>
      </c>
      <c r="AZ4" s="45" t="s">
        <v>309</v>
      </c>
      <c r="BB4" s="45" t="s">
        <v>319</v>
      </c>
      <c r="BC4" s="45" t="s">
        <v>320</v>
      </c>
    </row>
    <row r="5" spans="1:61">
      <c r="A5" s="45" t="s">
        <v>8</v>
      </c>
      <c r="B5" s="45" t="s">
        <v>9</v>
      </c>
      <c r="D5" s="45" t="s">
        <v>45</v>
      </c>
      <c r="E5" s="45" t="s">
        <v>46</v>
      </c>
      <c r="G5" s="45" t="s">
        <v>64</v>
      </c>
      <c r="H5" s="45" t="s">
        <v>65</v>
      </c>
      <c r="M5" s="45" t="s">
        <v>100</v>
      </c>
      <c r="N5" s="45" t="s">
        <v>101</v>
      </c>
      <c r="P5" s="45" t="s">
        <v>108</v>
      </c>
      <c r="Q5" s="45" t="s">
        <v>126</v>
      </c>
      <c r="S5" s="45" t="s">
        <v>147</v>
      </c>
      <c r="T5" s="45" t="s">
        <v>148</v>
      </c>
      <c r="V5" s="45" t="s">
        <v>175</v>
      </c>
      <c r="W5" s="45" t="s">
        <v>176</v>
      </c>
      <c r="Y5" s="45" t="s">
        <v>189</v>
      </c>
      <c r="Z5" s="45" t="s">
        <v>190</v>
      </c>
      <c r="AB5" s="45" t="s">
        <v>153</v>
      </c>
      <c r="AC5" s="45" t="s">
        <v>205</v>
      </c>
      <c r="AE5" s="45" t="s">
        <v>219</v>
      </c>
      <c r="AF5" s="45" t="s">
        <v>220</v>
      </c>
      <c r="AH5" s="45" t="s">
        <v>230</v>
      </c>
      <c r="AI5" s="45" t="s">
        <v>231</v>
      </c>
      <c r="AK5" s="45" t="s">
        <v>246</v>
      </c>
      <c r="AL5" s="45" t="s">
        <v>247</v>
      </c>
      <c r="AN5" s="45" t="s">
        <v>260</v>
      </c>
      <c r="AO5" s="45" t="s">
        <v>261</v>
      </c>
      <c r="AQ5" s="45" t="s">
        <v>275</v>
      </c>
      <c r="AR5" s="45" t="s">
        <v>276</v>
      </c>
      <c r="AS5" s="45" t="s">
        <v>277</v>
      </c>
      <c r="AU5" s="45" t="s">
        <v>301</v>
      </c>
      <c r="AV5" s="45" t="s">
        <v>302</v>
      </c>
      <c r="AW5" s="45" t="s">
        <v>300</v>
      </c>
      <c r="AY5" s="45" t="s">
        <v>310</v>
      </c>
      <c r="AZ5" s="45" t="s">
        <v>311</v>
      </c>
      <c r="BB5" s="45" t="s">
        <v>321</v>
      </c>
      <c r="BC5" s="45" t="s">
        <v>322</v>
      </c>
    </row>
    <row r="6" spans="1:61">
      <c r="A6" s="45" t="s">
        <v>10</v>
      </c>
      <c r="B6" s="45" t="s">
        <v>11</v>
      </c>
      <c r="D6" s="45" t="s">
        <v>47</v>
      </c>
      <c r="E6" s="45" t="s">
        <v>48</v>
      </c>
      <c r="G6" s="45" t="s">
        <v>66</v>
      </c>
      <c r="H6" s="45" t="s">
        <v>67</v>
      </c>
      <c r="M6" s="45" t="s">
        <v>102</v>
      </c>
      <c r="N6" s="45" t="s">
        <v>103</v>
      </c>
      <c r="P6" s="45" t="s">
        <v>127</v>
      </c>
      <c r="Q6" s="45" t="s">
        <v>128</v>
      </c>
      <c r="S6" s="45" t="s">
        <v>149</v>
      </c>
      <c r="T6" s="45" t="s">
        <v>150</v>
      </c>
      <c r="V6" s="45" t="s">
        <v>177</v>
      </c>
      <c r="W6" s="45" t="s">
        <v>178</v>
      </c>
      <c r="Y6" s="45" t="s">
        <v>191</v>
      </c>
      <c r="Z6" s="45" t="s">
        <v>192</v>
      </c>
      <c r="AB6" s="45" t="s">
        <v>206</v>
      </c>
      <c r="AC6" s="45" t="s">
        <v>207</v>
      </c>
      <c r="AE6" s="45" t="s">
        <v>221</v>
      </c>
      <c r="AF6" s="45" t="s">
        <v>222</v>
      </c>
      <c r="AH6" s="45" t="s">
        <v>232</v>
      </c>
      <c r="AI6" s="45" t="s">
        <v>233</v>
      </c>
      <c r="AK6" s="45" t="s">
        <v>248</v>
      </c>
      <c r="AL6" s="45" t="s">
        <v>249</v>
      </c>
      <c r="AN6" s="45" t="s">
        <v>262</v>
      </c>
      <c r="AO6" s="45" t="s">
        <v>263</v>
      </c>
      <c r="AQ6" s="45" t="s">
        <v>278</v>
      </c>
      <c r="AR6" s="45" t="s">
        <v>279</v>
      </c>
      <c r="AS6" s="45" t="s">
        <v>280</v>
      </c>
      <c r="AY6" s="45" t="s">
        <v>312</v>
      </c>
      <c r="AZ6" s="45" t="s">
        <v>313</v>
      </c>
      <c r="BB6" s="45" t="s">
        <v>323</v>
      </c>
      <c r="BC6" s="45" t="s">
        <v>324</v>
      </c>
    </row>
    <row r="7" spans="1:61">
      <c r="A7" s="45" t="s">
        <v>12</v>
      </c>
      <c r="B7" s="45" t="s">
        <v>13</v>
      </c>
      <c r="D7" s="45" t="s">
        <v>49</v>
      </c>
      <c r="E7" s="45" t="s">
        <v>50</v>
      </c>
      <c r="G7" s="45" t="s">
        <v>68</v>
      </c>
      <c r="H7" s="45" t="s">
        <v>69</v>
      </c>
      <c r="M7" s="45" t="s">
        <v>104</v>
      </c>
      <c r="N7" s="45" t="s">
        <v>105</v>
      </c>
      <c r="P7" s="45" t="s">
        <v>129</v>
      </c>
      <c r="Q7" s="45" t="s">
        <v>130</v>
      </c>
      <c r="S7" s="45" t="s">
        <v>151</v>
      </c>
      <c r="T7" s="45" t="s">
        <v>152</v>
      </c>
      <c r="V7" s="45" t="s">
        <v>179</v>
      </c>
      <c r="W7" s="45" t="s">
        <v>180</v>
      </c>
      <c r="Y7" s="45" t="s">
        <v>193</v>
      </c>
      <c r="Z7" s="45" t="s">
        <v>194</v>
      </c>
      <c r="AB7" s="45" t="s">
        <v>157</v>
      </c>
      <c r="AC7" s="45" t="s">
        <v>208</v>
      </c>
      <c r="AE7" s="45" t="s">
        <v>108</v>
      </c>
      <c r="AF7" s="45" t="s">
        <v>223</v>
      </c>
      <c r="AH7" s="45" t="s">
        <v>234</v>
      </c>
      <c r="AI7" s="45" t="s">
        <v>235</v>
      </c>
      <c r="AK7" s="45" t="s">
        <v>250</v>
      </c>
      <c r="AL7" s="45" t="s">
        <v>251</v>
      </c>
      <c r="AQ7" s="45" t="s">
        <v>281</v>
      </c>
      <c r="AR7" s="45" t="s">
        <v>282</v>
      </c>
      <c r="AS7" s="45" t="s">
        <v>283</v>
      </c>
    </row>
    <row r="8" spans="1:61">
      <c r="A8" s="45" t="s">
        <v>14</v>
      </c>
      <c r="B8" s="45" t="s">
        <v>15</v>
      </c>
      <c r="D8" s="45" t="s">
        <v>51</v>
      </c>
      <c r="E8" s="45" t="s">
        <v>52</v>
      </c>
      <c r="G8" s="45" t="s">
        <v>70</v>
      </c>
      <c r="H8" s="45" t="s">
        <v>71</v>
      </c>
      <c r="M8" s="45" t="s">
        <v>106</v>
      </c>
      <c r="N8" s="45" t="s">
        <v>107</v>
      </c>
      <c r="P8" s="45" t="s">
        <v>131</v>
      </c>
      <c r="Q8" s="45" t="s">
        <v>132</v>
      </c>
      <c r="S8" s="45" t="s">
        <v>153</v>
      </c>
      <c r="T8" s="45" t="s">
        <v>154</v>
      </c>
      <c r="V8" s="45" t="s">
        <v>181</v>
      </c>
      <c r="W8" s="45" t="s">
        <v>182</v>
      </c>
      <c r="Y8" s="45" t="s">
        <v>195</v>
      </c>
      <c r="Z8" s="45" t="s">
        <v>196</v>
      </c>
      <c r="AB8" s="45" t="s">
        <v>209</v>
      </c>
      <c r="AC8" s="45" t="s">
        <v>210</v>
      </c>
      <c r="AE8" s="45" t="s">
        <v>224</v>
      </c>
      <c r="AF8" s="45" t="s">
        <v>225</v>
      </c>
      <c r="AH8" s="45" t="s">
        <v>236</v>
      </c>
      <c r="AI8" s="45" t="s">
        <v>237</v>
      </c>
      <c r="AK8" s="45" t="s">
        <v>252</v>
      </c>
      <c r="AL8" s="45" t="s">
        <v>253</v>
      </c>
      <c r="AQ8" s="45" t="s">
        <v>284</v>
      </c>
      <c r="AR8" s="45" t="s">
        <v>285</v>
      </c>
      <c r="AS8" s="45" t="s">
        <v>286</v>
      </c>
    </row>
    <row r="9" spans="1:61">
      <c r="A9" s="45" t="s">
        <v>16</v>
      </c>
      <c r="B9" s="45" t="s">
        <v>17</v>
      </c>
      <c r="D9" s="45" t="s">
        <v>53</v>
      </c>
      <c r="E9" s="45" t="s">
        <v>54</v>
      </c>
      <c r="G9" s="45" t="s">
        <v>72</v>
      </c>
      <c r="H9" s="45" t="s">
        <v>73</v>
      </c>
      <c r="M9" s="45" t="s">
        <v>108</v>
      </c>
      <c r="N9" s="45" t="s">
        <v>109</v>
      </c>
      <c r="P9" s="45" t="s">
        <v>133</v>
      </c>
      <c r="Q9" s="45" t="s">
        <v>134</v>
      </c>
      <c r="S9" s="45" t="s">
        <v>155</v>
      </c>
      <c r="T9" s="45" t="s">
        <v>156</v>
      </c>
      <c r="Y9" s="45" t="s">
        <v>197</v>
      </c>
      <c r="Z9" s="45" t="s">
        <v>198</v>
      </c>
      <c r="AB9" s="45" t="s">
        <v>211</v>
      </c>
      <c r="AC9" s="45" t="s">
        <v>212</v>
      </c>
      <c r="AH9" s="45" t="s">
        <v>238</v>
      </c>
      <c r="AI9" s="45" t="s">
        <v>239</v>
      </c>
      <c r="AQ9" s="45" t="s">
        <v>287</v>
      </c>
      <c r="AR9" s="45" t="s">
        <v>288</v>
      </c>
      <c r="AS9" s="45" t="s">
        <v>289</v>
      </c>
    </row>
    <row r="10" spans="1:61">
      <c r="A10" s="45" t="s">
        <v>18</v>
      </c>
      <c r="B10" s="45" t="s">
        <v>19</v>
      </c>
      <c r="D10" s="45" t="s">
        <v>55</v>
      </c>
      <c r="E10" s="45" t="s">
        <v>56</v>
      </c>
      <c r="G10" s="45" t="s">
        <v>74</v>
      </c>
      <c r="H10" s="45" t="s">
        <v>75</v>
      </c>
      <c r="M10" s="45" t="s">
        <v>110</v>
      </c>
      <c r="N10" s="45" t="s">
        <v>111</v>
      </c>
      <c r="P10" s="45" t="s">
        <v>135</v>
      </c>
      <c r="Q10" s="45" t="s">
        <v>136</v>
      </c>
      <c r="S10" s="45" t="s">
        <v>157</v>
      </c>
      <c r="T10" s="45" t="s">
        <v>158</v>
      </c>
      <c r="AB10" s="45" t="s">
        <v>213</v>
      </c>
      <c r="AC10" s="45" t="s">
        <v>214</v>
      </c>
    </row>
    <row r="11" spans="1:61">
      <c r="A11" s="45" t="s">
        <v>20</v>
      </c>
      <c r="B11" s="45" t="s">
        <v>21</v>
      </c>
      <c r="G11" s="45" t="s">
        <v>76</v>
      </c>
      <c r="H11" s="45" t="s">
        <v>77</v>
      </c>
      <c r="M11" s="45" t="s">
        <v>112</v>
      </c>
      <c r="N11" s="45" t="s">
        <v>113</v>
      </c>
      <c r="P11" s="45" t="s">
        <v>137</v>
      </c>
      <c r="Q11" s="45" t="s">
        <v>138</v>
      </c>
      <c r="S11" s="45" t="s">
        <v>159</v>
      </c>
      <c r="T11" s="45" t="s">
        <v>160</v>
      </c>
    </row>
    <row r="12" spans="1:61">
      <c r="A12" s="45" t="s">
        <v>22</v>
      </c>
      <c r="B12" s="45" t="s">
        <v>23</v>
      </c>
      <c r="G12" s="45" t="s">
        <v>78</v>
      </c>
      <c r="H12" s="45" t="s">
        <v>79</v>
      </c>
      <c r="M12" s="45" t="s">
        <v>114</v>
      </c>
      <c r="N12" s="45" t="s">
        <v>115</v>
      </c>
      <c r="P12" s="45" t="s">
        <v>139</v>
      </c>
      <c r="Q12" s="45" t="s">
        <v>140</v>
      </c>
      <c r="S12" s="45" t="s">
        <v>161</v>
      </c>
      <c r="T12" s="45" t="s">
        <v>162</v>
      </c>
    </row>
    <row r="13" spans="1:61">
      <c r="A13" s="45" t="s">
        <v>24</v>
      </c>
      <c r="B13" s="45" t="s">
        <v>25</v>
      </c>
      <c r="G13" s="45" t="s">
        <v>80</v>
      </c>
      <c r="H13" s="45" t="s">
        <v>81</v>
      </c>
      <c r="M13" s="45" t="s">
        <v>116</v>
      </c>
      <c r="N13" s="45" t="s">
        <v>117</v>
      </c>
      <c r="S13" s="45" t="s">
        <v>163</v>
      </c>
      <c r="T13" s="45" t="s">
        <v>164</v>
      </c>
    </row>
    <row r="14" spans="1:61">
      <c r="A14" s="45" t="s">
        <v>26</v>
      </c>
      <c r="B14" s="45" t="s">
        <v>27</v>
      </c>
      <c r="G14" s="45" t="s">
        <v>82</v>
      </c>
      <c r="H14" s="45" t="s">
        <v>83</v>
      </c>
      <c r="M14" s="45" t="s">
        <v>118</v>
      </c>
      <c r="N14" s="45" t="s">
        <v>119</v>
      </c>
      <c r="S14" s="45" t="s">
        <v>165</v>
      </c>
      <c r="T14" s="45" t="s">
        <v>166</v>
      </c>
    </row>
    <row r="15" spans="1:61">
      <c r="A15" s="45" t="s">
        <v>28</v>
      </c>
      <c r="B15" s="45" t="s">
        <v>29</v>
      </c>
      <c r="G15" s="45" t="s">
        <v>84</v>
      </c>
      <c r="H15" s="45" t="s">
        <v>85</v>
      </c>
      <c r="S15" s="45" t="s">
        <v>167</v>
      </c>
      <c r="T15" s="45" t="s">
        <v>168</v>
      </c>
    </row>
    <row r="16" spans="1:61">
      <c r="A16" s="45" t="s">
        <v>30</v>
      </c>
      <c r="B16" s="45" t="s">
        <v>31</v>
      </c>
    </row>
    <row r="17" spans="1:2">
      <c r="A17" s="45" t="s">
        <v>32</v>
      </c>
      <c r="B17" s="45" t="s">
        <v>33</v>
      </c>
    </row>
    <row r="18" spans="1:2">
      <c r="A18" s="45" t="s">
        <v>34</v>
      </c>
      <c r="B18" s="45" t="s">
        <v>35</v>
      </c>
    </row>
    <row r="19" spans="1:2">
      <c r="A19" s="45" t="s">
        <v>36</v>
      </c>
      <c r="B19" s="45" t="s">
        <v>37</v>
      </c>
    </row>
  </sheetData>
  <sheetProtection sheet="1" scenarios="1"/>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22.7109375" customWidth="1"/>
    <col min="2" max="2" width="100.7109375" customWidth="1"/>
    <col min="3" max="3" width="50.7109375" customWidth="1"/>
  </cols>
  <sheetData>
    <row r="1" spans="1:3">
      <c r="A1" s="44" t="s">
        <v>334</v>
      </c>
      <c r="B1" s="44" t="s">
        <v>335</v>
      </c>
      <c r="C1" s="44" t="s">
        <v>336</v>
      </c>
    </row>
    <row r="2" spans="1:3">
      <c r="A2" s="35" t="s">
        <v>337</v>
      </c>
      <c r="B2" s="35" t="str">
        <f>IFERROR(VLOOKUP(ProyEstancia,T_Estancia,2,FALSE),"room")</f>
        <v>open living and dining room</v>
      </c>
      <c r="C2" s="35" t="s">
        <v>338</v>
      </c>
    </row>
    <row r="3" spans="1:3">
      <c r="A3" s="35" t="s">
        <v>339</v>
      </c>
      <c r="B3" s="35" t="str">
        <f>IFERROR(VLOOKUP(ProyTipo,T_Tipo,2,FALSE),"renovation")</f>
        <v>complete renovation of all finishes, fixtures, lighting and furniture</v>
      </c>
      <c r="C3" s="35" t="s">
        <v>38</v>
      </c>
    </row>
    <row r="4" spans="1:3">
      <c r="A4" s="35" t="s">
        <v>340</v>
      </c>
      <c r="B4" s="35" t="str">
        <f>IFERROR(VLOOKUP(ProyEstilo,T_Estilo,2,FALSE),"modern")</f>
        <v>Scandinavian: light woods, white and soft neutral tones, cozy textiles, simple functional furniture</v>
      </c>
      <c r="C4" s="35" t="s">
        <v>341</v>
      </c>
    </row>
    <row r="5" spans="1:3">
      <c r="A5" s="35" t="s">
        <v>342</v>
      </c>
      <c r="B5" s="35" t="str">
        <f>IFERROR(VLOOKUP(ProyIntensidad,T_Intensidad,2,FALSE),"")</f>
        <v>Make clearly visible changes while keeping a realistic, coherent result.</v>
      </c>
      <c r="C5" s="35" t="s">
        <v>86</v>
      </c>
    </row>
    <row r="6" spans="1:3">
      <c r="A6" s="35" t="s">
        <v>343</v>
      </c>
      <c r="B6" s="35" t="str">
        <f>IFERROR(VLOOKUP(RefSuelo,T_Suelo,2,FALSE),"keep the existing floor")</f>
        <v>natural oak wood plank flooring</v>
      </c>
      <c r="C6" s="35" t="s">
        <v>93</v>
      </c>
    </row>
    <row r="7" spans="1:3">
      <c r="A7" s="35" t="s">
        <v>344</v>
      </c>
      <c r="B7" s="35" t="str">
        <f>IFERROR(VLOOKUP(RefParedes,T_Paredes,2,FALSE),"keep the existing wall finish")</f>
        <v>smooth painted walls</v>
      </c>
      <c r="C7" s="35" t="s">
        <v>345</v>
      </c>
    </row>
    <row r="8" spans="1:3">
      <c r="A8" s="35" t="s">
        <v>346</v>
      </c>
      <c r="B8" s="35" t="str">
        <f>IFERROR(VLOOKUP(RefColor,T_Color,2,FALSE),"keep the existing colors")</f>
        <v>warm off-white</v>
      </c>
      <c r="C8" s="35" t="s">
        <v>141</v>
      </c>
    </row>
    <row r="9" spans="1:3">
      <c r="A9" s="35" t="s">
        <v>347</v>
      </c>
      <c r="B9" s="35" t="str">
        <f>IFERROR(VLOOKUP(RefTecho,T_Techo,2,FALSE),"keep the existing ceiling")</f>
        <v>smooth flat white ceiling</v>
      </c>
      <c r="C9" s="35" t="s">
        <v>169</v>
      </c>
    </row>
    <row r="10" spans="1:3">
      <c r="A10" s="35" t="s">
        <v>348</v>
      </c>
      <c r="B10" s="35" t="str">
        <f>IFERROR(VLOOKUP(RefCarpinteria,T_Carpinteria,2,FALSE),"keep the existing doors and windows")</f>
        <v>white lacquered interior doors</v>
      </c>
      <c r="C10" s="35" t="s">
        <v>349</v>
      </c>
    </row>
    <row r="11" spans="1:3">
      <c r="A11" s="35" t="s">
        <v>350</v>
      </c>
      <c r="B11" s="35" t="str">
        <f>IFERROR(VLOOKUP(RefCocina,T_Cocina,2,FALSE),"-")</f>
        <v>-</v>
      </c>
      <c r="C11" s="35" t="s">
        <v>351</v>
      </c>
    </row>
    <row r="12" spans="1:3">
      <c r="A12" s="35" t="s">
        <v>352</v>
      </c>
      <c r="B12" s="35" t="str">
        <f>IFERROR(VLOOKUP(RefEncimera,T_Encimera,2,FALSE),"-")</f>
        <v>-</v>
      </c>
      <c r="C12" s="35" t="s">
        <v>215</v>
      </c>
    </row>
    <row r="13" spans="1:3">
      <c r="A13" s="35" t="s">
        <v>353</v>
      </c>
      <c r="B13" s="35" t="str">
        <f>IFERROR(VLOOKUP(RefBano,T_Bano,2,FALSE),"-")</f>
        <v>-</v>
      </c>
      <c r="C13" s="35" t="s">
        <v>12</v>
      </c>
    </row>
    <row r="14" spans="1:3">
      <c r="A14" s="35" t="s">
        <v>354</v>
      </c>
      <c r="B14" s="35" t="str">
        <f>IFERROR(VLOOKUP(RefIluminacion,T_Iluminacion,2,FALSE),"keep the existing light fittings")</f>
        <v>designer pendant lamps</v>
      </c>
      <c r="C14" s="35" t="s">
        <v>355</v>
      </c>
    </row>
    <row r="15" spans="1:3">
      <c r="A15" s="35" t="s">
        <v>356</v>
      </c>
      <c r="B15" s="35" t="str">
        <f>IFERROR(VLOOKUP(RefMobiliario,T_Mobiliario,2,FALSE),"keep the existing furniture")</f>
        <v>new furniture and decor matching the chosen style, realistically sized for the space</v>
      </c>
      <c r="C15" s="35" t="s">
        <v>254</v>
      </c>
    </row>
    <row r="16" spans="1:3">
      <c r="A16" s="35" t="s">
        <v>357</v>
      </c>
      <c r="B16" s="35" t="str">
        <f>IFERROR(VLOOKUP(FmtEstilo,T_EstiloImagen,2,FALSE),"photorealistic interior photograph")</f>
        <v>photorealistic interior photograph, as if taken by a professional real-estate photographer</v>
      </c>
      <c r="C16" s="35" t="s">
        <v>303</v>
      </c>
    </row>
    <row r="17" spans="1:3">
      <c r="A17" s="35" t="s">
        <v>358</v>
      </c>
      <c r="B17" s="35" t="str">
        <f>IFERROR(VLOOKUP(FmtLuz,T_Luz,2,FALSE),"keep the original lighting")</f>
        <v>bright natural daylight entering through the existing windows</v>
      </c>
      <c r="C17" s="35" t="s">
        <v>314</v>
      </c>
    </row>
    <row r="18" spans="1:3">
      <c r="A18" s="35" t="s">
        <v>359</v>
      </c>
      <c r="B18" s="35" t="str">
        <f>IFERROR(VLOOKUP(FmtProporcion,T_Proporcion,2,FALSE),"auto")</f>
        <v>auto</v>
      </c>
      <c r="C18" s="35" t="s">
        <v>360</v>
      </c>
    </row>
    <row r="19" spans="1:3">
      <c r="A19" s="35" t="s">
        <v>361</v>
      </c>
      <c r="B19" s="35" t="str">
        <f>IFERROR(VLOOKUP(FmtProporcion,T_Proporcion,3,FALSE),"")</f>
        <v>Keep exactly the same framing and aspect ratio as the original photo.</v>
      </c>
      <c r="C19" s="35" t="s">
        <v>362</v>
      </c>
    </row>
    <row r="20" spans="1:3">
      <c r="A20" s="35" t="s">
        <v>363</v>
      </c>
      <c r="B20" s="35" t="str">
        <f>IFERROR(VLOOKUP(FmtCalidad,T_Calidad,2,FALSE),"1K")</f>
        <v>2K</v>
      </c>
      <c r="C20" s="35" t="s">
        <v>364</v>
      </c>
    </row>
    <row r="21" spans="1:3">
      <c r="A21" s="35" t="s">
        <v>365</v>
      </c>
      <c r="B21" s="35" t="str">
        <f>IFERROR(VLOOKUP(FmtCalidad,T_Calidad,3,FALSE),"medium")</f>
        <v>high</v>
      </c>
      <c r="C21" s="35" t="s">
        <v>366</v>
      </c>
    </row>
    <row r="23" spans="1:3">
      <c r="A23" s="35" t="s">
        <v>367</v>
      </c>
      <c r="B23" s="35" t="str">
        <f>"Interior renovation visualization. Edit the attached photo (space: "&amp;CALC!$B$2&amp;") to show how it will look after this renovation: "&amp;CALC!$B$3&amp;"."</f>
        <v>Interior renovation visualization. Edit the attached photo (space: open living and dining room) to show how it will look after this renovation: complete renovation of all finishes, fixtures, lighting and furniture.</v>
      </c>
      <c r="C23" s="35" t="s">
        <v>368</v>
      </c>
    </row>
    <row r="24" spans="1:3">
      <c r="A24" s="35" t="s">
        <v>369</v>
      </c>
      <c r="B24" s="35" t="str">
        <f>"STRICT RULE - KEEP THE ORIGINAL ARCHITECTURE: this is the same real space after the renovation. Keep exactly the same camera position, viewpoint, height, angle, lens, perspective, framing and vanishing lines as in the original photo. Do not move, add, remove, resize or reshape any wall, partition, window, door, opening, column, beam, arch, staircase, radiator or built-in element. Keep the room dimensions, ceiling height, layout and proportions identical, so the new image overlays perfectly on the original one. Only surfaces, finishes, colors, fixtures, light fittings and furniture may change, as specified below."&amp;IF(LEN(TRIM(EstConservar))&gt;0," Also keep exactly as they are: "&amp;TRIM(EstConservar)&amp;".","")</f>
        <v>STRICT RULE - KEEP THE ORIGINAL ARCHITECTURE: this is the same real space after the renovation. Keep exactly the same camera position, viewpoint, height, angle, lens, perspective, framing and vanishing lines as in the original photo. Do not move, add, remove, resize or reshape any wall, partition, window, door, opening, column, beam, arch, staircase, radiator or built-in element. Keep the room dimensions, ceiling height, layout and proportions identical, so the new image overlays perfectly on the original one. Only surfaces, finishes, colors, fixtures, light fittings and furniture may change, as specified below.</v>
      </c>
      <c r="C24" s="35" t="s">
        <v>370</v>
      </c>
    </row>
    <row r="25" spans="1:3">
      <c r="A25" s="35" t="s">
        <v>371</v>
      </c>
      <c r="B25" s="35" t="str">
        <f>"Interior design style: "&amp;CALC!$B$4&amp;". "&amp;CALC!$B$5</f>
        <v>Interior design style: Scandinavian: light woods, white and soft neutral tones, cozy textiles, simple functional furniture. Make clearly visible changes while keeping a realistic, coherent result.</v>
      </c>
      <c r="C25" s="35" t="s">
        <v>372</v>
      </c>
    </row>
    <row r="26" spans="1:3">
      <c r="A26" s="35" t="s">
        <v>373</v>
      </c>
      <c r="B26" s="35" t="str">
        <f>"Changes: floor: "&amp;CALC!$B$6&amp;". Wall finish: "&amp;CALC!$B$7&amp;". Wall color: "&amp;CALC!$B$8&amp;". Ceiling: "&amp;CALC!$B$9&amp;". Doors and windows: "&amp;CALC!$B$10&amp;"."&amp;IF(CALC!$B$11="-",""," Kitchen cabinets: "&amp;CALC!$B$11&amp;".")&amp;IF(CALC!$B$12="-",""," Countertop: "&amp;CALC!$B$12&amp;".")&amp;IF(CALC!$B$13="-",""," Bathroom: "&amp;CALC!$B$13&amp;".")&amp;" Light fittings: "&amp;CALC!$B$14&amp;". Furniture and decor: "&amp;CALC!$B$15&amp;"."</f>
        <v>Changes: floor: natural oak wood plank flooring. Wall finish: smooth painted walls. Wall color: warm off-white. Ceiling: smooth flat white ceiling. Doors and windows: white lacquered interior doors. Light fittings: designer pendant lamps. Furniture and decor: new furniture and decor matching the chosen style, realistically sized for the space.</v>
      </c>
      <c r="C26" s="35" t="s">
        <v>374</v>
      </c>
    </row>
    <row r="27" spans="1:3">
      <c r="A27" s="35" t="s">
        <v>375</v>
      </c>
      <c r="B27" s="35" t="str">
        <f>IF(LEN(TRIM(RefNotas))&gt;0,"Additional client requests (written in Spanish; follow them as long as they do not change the architecture): "&amp;TRIM(RefNotas)&amp;".","")</f>
        <v>Additional client requests (written in Spanish; follow them as long as they do not change the architecture): Sofá en tonos claros, alfombra de yute y plantas naturales.</v>
      </c>
      <c r="C27" s="35" t="s">
        <v>376</v>
      </c>
    </row>
    <row r="28" spans="1:3">
      <c r="A28" s="35" t="s">
        <v>377</v>
      </c>
      <c r="B28" s="35" t="str">
        <f>"Output: "&amp;CALC!$B$16&amp;". Lighting: "&amp;CALC!$B$17&amp;". "&amp;CALC!$B$19&amp;" Realistic materials and textures, correct real-world scale, coherent shadows and reflections. No text, labels, watermarks or people."</f>
        <v>Output: photorealistic interior photograph, as if taken by a professional real-estate photographer. Lighting: bright natural daylight entering through the existing windows. Keep exactly the same framing and aspect ratio as the original photo. Realistic materials and textures, correct real-world scale, coherent shadows and reflections. No text, labels, watermarks or people.</v>
      </c>
      <c r="C28" s="35" t="s">
        <v>378</v>
      </c>
    </row>
  </sheetData>
  <sheetProtection sheet="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91</vt:i4>
      </vt:variant>
    </vt:vector>
  </HeadingPairs>
  <TitlesOfParts>
    <vt:vector size="98" baseType="lpstr">
      <vt:lpstr>INICIO</vt:lpstr>
      <vt:lpstr>PROYECTO</vt:lpstr>
      <vt:lpstr>RESULTADO</vt:lpstr>
      <vt:lpstr>HISTORIAL</vt:lpstr>
      <vt:lpstr>AJUSTES</vt:lpstr>
      <vt:lpstr>LISTAS</vt:lpstr>
      <vt:lpstr>CALC</vt:lpstr>
      <vt:lpstr>CajaAntes</vt:lpstr>
      <vt:lpstr>CajaDespues</vt:lpstr>
      <vt:lpstr>CajaOriginal</vt:lpstr>
      <vt:lpstr>CfgCarpeta</vt:lpstr>
      <vt:lpstr>CfgModeloGemini</vt:lpstr>
      <vt:lpstr>CfgModeloOpenAI</vt:lpstr>
      <vt:lpstr>CfgMotor</vt:lpstr>
      <vt:lpstr>CodCalidadOpenAI</vt:lpstr>
      <vt:lpstr>CodProporcion</vt:lpstr>
      <vt:lpstr>CodResolucion</vt:lpstr>
      <vt:lpstr>EstadoApp</vt:lpstr>
      <vt:lpstr>EstadoClaveGemini</vt:lpstr>
      <vt:lpstr>EstadoClaveOpenAI</vt:lpstr>
      <vt:lpstr>EstConservar</vt:lpstr>
      <vt:lpstr>FmtCalidad</vt:lpstr>
      <vt:lpstr>FmtEstilo</vt:lpstr>
      <vt:lpstr>FmtLuz</vt:lpstr>
      <vt:lpstr>FmtProporcion</vt:lpstr>
      <vt:lpstr>FotoNombre</vt:lpstr>
      <vt:lpstr>FotoRuta</vt:lpstr>
      <vt:lpstr>HistCabecera</vt:lpstr>
      <vt:lpstr>L_Bano</vt:lpstr>
      <vt:lpstr>L_Calidad</vt:lpstr>
      <vt:lpstr>L_Carpinteria</vt:lpstr>
      <vt:lpstr>L_Cocina</vt:lpstr>
      <vt:lpstr>L_Color</vt:lpstr>
      <vt:lpstr>L_Encimera</vt:lpstr>
      <vt:lpstr>L_Estancia</vt:lpstr>
      <vt:lpstr>L_Estilo</vt:lpstr>
      <vt:lpstr>L_EstiloImagen</vt:lpstr>
      <vt:lpstr>L_Iluminacion</vt:lpstr>
      <vt:lpstr>L_Intensidad</vt:lpstr>
      <vt:lpstr>L_Luz</vt:lpstr>
      <vt:lpstr>L_Mobiliario</vt:lpstr>
      <vt:lpstr>L_ModeloGemini</vt:lpstr>
      <vt:lpstr>L_ModeloOpenAI</vt:lpstr>
      <vt:lpstr>L_Motor</vt:lpstr>
      <vt:lpstr>L_Paredes</vt:lpstr>
      <vt:lpstr>L_Proporcion</vt:lpstr>
      <vt:lpstr>L_Suelo</vt:lpstr>
      <vt:lpstr>L_Techo</vt:lpstr>
      <vt:lpstr>L_Tipo</vt:lpstr>
      <vt:lpstr>AJUSTES!Print_Area</vt:lpstr>
      <vt:lpstr>HISTORIAL!Print_Area</vt:lpstr>
      <vt:lpstr>INICIO!Print_Area</vt:lpstr>
      <vt:lpstr>PROYECTO!Print_Area</vt:lpstr>
      <vt:lpstr>RESULTADO!Print_Area</vt:lpstr>
      <vt:lpstr>HISTORIAL!Print_Titles</vt:lpstr>
      <vt:lpstr>PromptIA</vt:lpstr>
      <vt:lpstr>ProyEstancia</vt:lpstr>
      <vt:lpstr>ProyEstilo</vt:lpstr>
      <vt:lpstr>ProyIntensidad</vt:lpstr>
      <vt:lpstr>ProyNombre</vt:lpstr>
      <vt:lpstr>ProyTipo</vt:lpstr>
      <vt:lpstr>RefBano</vt:lpstr>
      <vt:lpstr>RefCarpinteria</vt:lpstr>
      <vt:lpstr>RefCocina</vt:lpstr>
      <vt:lpstr>RefColor</vt:lpstr>
      <vt:lpstr>RefEncimera</vt:lpstr>
      <vt:lpstr>RefIluminacion</vt:lpstr>
      <vt:lpstr>RefMobiliario</vt:lpstr>
      <vt:lpstr>RefNotas</vt:lpstr>
      <vt:lpstr>RefParedes</vt:lpstr>
      <vt:lpstr>RefSuelo</vt:lpstr>
      <vt:lpstr>RefTecho</vt:lpstr>
      <vt:lpstr>ResArchivo</vt:lpstr>
      <vt:lpstr>ResFecha</vt:lpstr>
      <vt:lpstr>ResMotor</vt:lpstr>
      <vt:lpstr>ResResumen</vt:lpstr>
      <vt:lpstr>ResumenES</vt:lpstr>
      <vt:lpstr>T_Bano</vt:lpstr>
      <vt:lpstr>T_Calidad</vt:lpstr>
      <vt:lpstr>T_Carpinteria</vt:lpstr>
      <vt:lpstr>T_Cocina</vt:lpstr>
      <vt:lpstr>T_Color</vt:lpstr>
      <vt:lpstr>T_Encimera</vt:lpstr>
      <vt:lpstr>T_Estancia</vt:lpstr>
      <vt:lpstr>T_Estilo</vt:lpstr>
      <vt:lpstr>T_EstiloImagen</vt:lpstr>
      <vt:lpstr>T_Iluminacion</vt:lpstr>
      <vt:lpstr>T_Intensidad</vt:lpstr>
      <vt:lpstr>T_Luz</vt:lpstr>
      <vt:lpstr>T_Mobiliario</vt:lpstr>
      <vt:lpstr>T_ModeloGemini</vt:lpstr>
      <vt:lpstr>T_ModeloOpenAI</vt:lpstr>
      <vt:lpstr>T_Motor</vt:lpstr>
      <vt:lpstr>T_Paredes</vt:lpstr>
      <vt:lpstr>T_Proporcion</vt:lpstr>
      <vt:lpstr>T_Suelo</vt:lpstr>
      <vt:lpstr>T_Techo</vt:lpstr>
      <vt:lpstr>T_Tipo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Gaudí · Visualizador de reformas</dc:title>
  <dc:subject>Visualización de reformas con IA manteniendo la estructura original</dc:subject>
  <dc:creator/>
  <cp:keywords>reforma, interiorismo, IA, render, antes y después</cp:keywords>
  <dc:description>Generado con src/build_app.py</dc:description>
  <cp:lastModifiedBy/>
  <dcterms:created xsi:type="dcterms:W3CDTF">2026-10-08T18:27:17Z</dcterms:created>
  <dcterms:modified xsi:type="dcterms:W3CDTF">2026-10-08T18:27:17Z</dcterms:modified>
</cp:coreProperties>
</file>